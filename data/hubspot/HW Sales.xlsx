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faraChitiyo-I-\OneDrive - ZHD Consulting\Automation_Project\data\hubspot\"/>
    </mc:Choice>
  </mc:AlternateContent>
  <xr:revisionPtr revIDLastSave="972" documentId="14_{2DB2EA84-2B2B-47BD-A307-7F43E3CAA591}" xr6:coauthVersionLast="36" xr6:coauthVersionMax="47" xr10:uidLastSave="{57207CBE-F99E-4C38-9E8B-008AA6F117C8}"/>
  <bookViews>
    <workbookView xWindow="0" yWindow="0" windowWidth="25596" windowHeight="15996" firstSheet="5" activeTab="9" xr2:uid="{00000000-000D-0000-FFFF-FFFF00000000}"/>
  </bookViews>
  <sheets>
    <sheet name="2022 HWS" sheetId="1" r:id="rId1"/>
    <sheet name="2023 HWS" sheetId="2" r:id="rId2"/>
    <sheet name="2023 CHWS" sheetId="3" r:id="rId3"/>
    <sheet name="2024 HWS" sheetId="5" r:id="rId4"/>
    <sheet name="Software Sales 2024" sheetId="8" r:id="rId5"/>
    <sheet name="RFQ2024" sheetId="12" r:id="rId6"/>
    <sheet name="2025 HWS" sheetId="9" r:id="rId7"/>
    <sheet name="Software Sales 2025" sheetId="11" r:id="rId8"/>
    <sheet name="RFQ2025" sheetId="13" r:id="rId9"/>
    <sheet name="2026 HWS" sheetId="14" r:id="rId10"/>
    <sheet name="Software Sales 2026" sheetId="15" r:id="rId11"/>
    <sheet name="RFQ2026" sheetId="16" r:id="rId12"/>
  </sheets>
  <definedNames>
    <definedName name="_xlnm._FilterDatabase" localSheetId="0" hidden="1">'2022 HWS'!$A$1:$F$34</definedName>
    <definedName name="_xlnm._FilterDatabase" localSheetId="3" hidden="1">'2024 HWS'!$A$1:$L$71</definedName>
    <definedName name="_xlnm._FilterDatabase" localSheetId="6" hidden="1">'2025 HWS'!$A$1:$I$39</definedName>
    <definedName name="_xlnm._FilterDatabase" localSheetId="8" hidden="1">'RFQ2025'!$A$1:$L$83</definedName>
    <definedName name="_xlnm._FilterDatabase" localSheetId="4" hidden="1">'Software Sales 2024'!$A$1:$G$13</definedName>
    <definedName name="_xlnm._FilterDatabase" localSheetId="7" hidden="1">'Software Sales 2025'!$B$1:$H$14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4" i="9" l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C18" i="3"/>
  <c r="D14" i="3"/>
  <c r="D11" i="3"/>
  <c r="D8" i="3"/>
  <c r="D5" i="3"/>
  <c r="D2" i="3"/>
  <c r="D18" i="3" s="1"/>
  <c r="C25" i="2"/>
  <c r="K20" i="2"/>
  <c r="G6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5" i="2"/>
  <c r="G4" i="2"/>
  <c r="G3" i="2"/>
  <c r="G2" i="2"/>
  <c r="G25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H40" i="1" s="1"/>
</calcChain>
</file>

<file path=xl/sharedStrings.xml><?xml version="1.0" encoding="utf-8"?>
<sst xmlns="http://schemas.openxmlformats.org/spreadsheetml/2006/main" count="4312" uniqueCount="1357">
  <si>
    <t>Product Name</t>
  </si>
  <si>
    <t>Product Category</t>
  </si>
  <si>
    <t>Product Type</t>
  </si>
  <si>
    <t>Units Sold</t>
  </si>
  <si>
    <t>Sales Date</t>
  </si>
  <si>
    <t>Customer Name</t>
  </si>
  <si>
    <t>Unit price</t>
  </si>
  <si>
    <t>Total</t>
  </si>
  <si>
    <t>HP ProBOOK 450 G8 INTEL COREi5- 1135G7</t>
  </si>
  <si>
    <t>Computing Devices</t>
  </si>
  <si>
    <t>Laptops</t>
  </si>
  <si>
    <t>Ivory Medical</t>
  </si>
  <si>
    <t>HP 200 G4 FHD COREi5 - 10210U</t>
  </si>
  <si>
    <t>Desktops</t>
  </si>
  <si>
    <t>Namibian Embassy</t>
  </si>
  <si>
    <t>XEROX VERSALINK B7025</t>
  </si>
  <si>
    <t>Peripheral Devices</t>
  </si>
  <si>
    <t>Printers</t>
  </si>
  <si>
    <t>HP 280 G8 MT INTEL COREi3</t>
  </si>
  <si>
    <t>Gift Marimbire</t>
  </si>
  <si>
    <t>HP 290 DUAL CORE</t>
  </si>
  <si>
    <t>Apostolic Nunciature</t>
  </si>
  <si>
    <t>HP LASER JET PRO MFP137FNW</t>
  </si>
  <si>
    <t>Health Professions Authority</t>
  </si>
  <si>
    <t>HP 290 G4 MT INTEL COREi5 - 10500</t>
  </si>
  <si>
    <t>Italian Embassy</t>
  </si>
  <si>
    <t>PANTUM P2200 MONOLASER PRINTER</t>
  </si>
  <si>
    <t>HPE ProLiant DL360 Gen10 Plus 8 x SFF NVMe</t>
  </si>
  <si>
    <t>Servers</t>
  </si>
  <si>
    <t>FC Bureau</t>
  </si>
  <si>
    <t>Sharon School</t>
  </si>
  <si>
    <t>HP 250 G8, Intel Corei3</t>
  </si>
  <si>
    <t>Exodus</t>
  </si>
  <si>
    <t>APC SMC15001-24C Line Uninterruptible Power Supply (1500VA) (900W)</t>
  </si>
  <si>
    <t>Power &amp; Infrastructure</t>
  </si>
  <si>
    <t>UPS</t>
  </si>
  <si>
    <t>HP ProBook 450 G8, Intel Corei5,15" - 5CD14672YX</t>
  </si>
  <si>
    <t>TP LINK 24 PORT POE SWITCH</t>
  </si>
  <si>
    <t>Networking Equipment</t>
  </si>
  <si>
    <t>Switches</t>
  </si>
  <si>
    <t>HP ProLiant ML30 P16926-421 Gen10 Intel Xeon E-2224 Quad-Core</t>
  </si>
  <si>
    <t>Hola Capital</t>
  </si>
  <si>
    <t>IP Cameras</t>
  </si>
  <si>
    <t>Security &amp; Access Control</t>
  </si>
  <si>
    <t>Cameras</t>
  </si>
  <si>
    <t>UNV Network Video Recorders</t>
  </si>
  <si>
    <t>Video Recorders</t>
  </si>
  <si>
    <t xml:space="preserve">HP ENVY  13M-BA1047  Core™ i5-1165G7 256GB SSD 8GB 13.3" SCEEN SIZE MICRO EDGE WIN10 SILVER Backlit </t>
  </si>
  <si>
    <t>Epson TM-T88V/TM-T20 - X7AV370232</t>
  </si>
  <si>
    <t>Mhondoro Ngezi Rural District Council</t>
  </si>
  <si>
    <t>Mikrotik Routers</t>
  </si>
  <si>
    <t>Routers</t>
  </si>
  <si>
    <t>Cabinet</t>
  </si>
  <si>
    <t>60-80kgs Door Closer</t>
  </si>
  <si>
    <t>Door Closers</t>
  </si>
  <si>
    <t>F12 Biometric Outdoor Reader</t>
  </si>
  <si>
    <t>Biometric Readers</t>
  </si>
  <si>
    <t>ZKTeco Power Supply Unit</t>
  </si>
  <si>
    <t>Power Supply Units</t>
  </si>
  <si>
    <t>TP LINK CE510</t>
  </si>
  <si>
    <t>Access Points</t>
  </si>
  <si>
    <t>HP 15T-DW300 Corei5-1135G7, 2.4GHz 512SSD 8GB RAM, 15.6" Win11 JET BLACK.</t>
  </si>
  <si>
    <t>Platinum Groupe</t>
  </si>
  <si>
    <t>HP 290-G4, Microtower, Corei5, 256 SSD, 8GB RAM ,18.5" - 4CE236BN9Z</t>
  </si>
  <si>
    <t>HP ProBook 450 G8, Corei5, 8GB RAM, 256GB SSD, Win 10 PRO, 15" Screen Size</t>
  </si>
  <si>
    <t>HP 250 G8,  Celeron N4020, Dual Core, 4GB RAM, 500GB HDD, 15" Screen Size</t>
  </si>
  <si>
    <t>Ruth ( Walk- In)</t>
  </si>
  <si>
    <t>CISCO WEBKIT</t>
  </si>
  <si>
    <t>Audio &amp; Visual Equipment</t>
  </si>
  <si>
    <t>WeBuild Group</t>
  </si>
  <si>
    <t>48" Professional Display Screens</t>
  </si>
  <si>
    <t>Screens</t>
  </si>
  <si>
    <t>Automatic Voltage Stabillizer  AVS-S02 PSS 2KVA-TND</t>
  </si>
  <si>
    <t>AVS</t>
  </si>
  <si>
    <t>Werner Burkhard</t>
  </si>
  <si>
    <t>Unit Price</t>
  </si>
  <si>
    <t>Sales (Quantity)</t>
  </si>
  <si>
    <t>Sales (Revenue)</t>
  </si>
  <si>
    <t>Units  Sold</t>
  </si>
  <si>
    <t>Amount Collected</t>
  </si>
  <si>
    <t>Camers</t>
  </si>
  <si>
    <t>Webkit(Cisco)</t>
  </si>
  <si>
    <t xml:space="preserve">Laptops </t>
  </si>
  <si>
    <t xml:space="preserve">Power Supply Units </t>
  </si>
  <si>
    <t>Video recorders</t>
  </si>
  <si>
    <t xml:space="preserve">Switches </t>
  </si>
  <si>
    <t>Professional Display</t>
  </si>
  <si>
    <t>Professional display</t>
  </si>
  <si>
    <t>Printer</t>
  </si>
  <si>
    <t>Access points</t>
  </si>
  <si>
    <t>Webkit ( Cisco)</t>
  </si>
  <si>
    <t>Biometric reader</t>
  </si>
  <si>
    <t xml:space="preserve">AVS </t>
  </si>
  <si>
    <t>TOTAL</t>
  </si>
  <si>
    <t>Category</t>
  </si>
  <si>
    <t>Item</t>
  </si>
  <si>
    <t>2023 Unit sales</t>
  </si>
  <si>
    <t>2023 Category Sales</t>
  </si>
  <si>
    <t>z</t>
  </si>
  <si>
    <t>Site</t>
  </si>
  <si>
    <t>HP S1000 Plus</t>
  </si>
  <si>
    <t>Wireless Mouse</t>
  </si>
  <si>
    <t>Computer Accesories</t>
  </si>
  <si>
    <t>Gateway Christian Training College</t>
  </si>
  <si>
    <t>TP LINK AC1350 - EA225</t>
  </si>
  <si>
    <t>Tenda 5 Port Gigabit Switch With 4-PoE</t>
  </si>
  <si>
    <t>Lenovo Thinkpad L15 Gen 1, Corei5, 8GB RAM, 512GB SSD, Black, Win10 Pro.</t>
  </si>
  <si>
    <t>Laptop</t>
  </si>
  <si>
    <t>LG Monitor 27 inches UK600</t>
  </si>
  <si>
    <t>Monitor</t>
  </si>
  <si>
    <t>Embassy of Italy-Zimbabwe</t>
  </si>
  <si>
    <t xml:space="preserve">HP 290 G6 Pro, Corei7, 16GB RAM,256 SSD, 1TB HDD,Win 11 Pro </t>
  </si>
  <si>
    <t>Desktop</t>
  </si>
  <si>
    <t>Logitech M270</t>
  </si>
  <si>
    <t>Wireless keyboard</t>
  </si>
  <si>
    <t>Black 203A tONER Cartridge</t>
  </si>
  <si>
    <t>Cartridges</t>
  </si>
  <si>
    <t>Printing Devices</t>
  </si>
  <si>
    <t>16GB Flashs drives</t>
  </si>
  <si>
    <t>Flash drives</t>
  </si>
  <si>
    <t>Storage Devices</t>
  </si>
  <si>
    <t>APC 3KVA SMART UPS</t>
  </si>
  <si>
    <t>Walk-In</t>
  </si>
  <si>
    <t>HP 290 G8, Intel Celeron N4020, Dual Core,4GB RAM,500GB HDD,15" Screen Size, win 10 Home</t>
  </si>
  <si>
    <t>Ajara trucking</t>
  </si>
  <si>
    <t>Ajara Trucking</t>
  </si>
  <si>
    <t>Walk In</t>
  </si>
  <si>
    <t>Cake Freight Services</t>
  </si>
  <si>
    <t>Ricoh MPC2503 Black</t>
  </si>
  <si>
    <t>Ricoh MPC2503 Y,C,M</t>
  </si>
  <si>
    <t>Ricoh MPC 3003 Black</t>
  </si>
  <si>
    <t>Ricoh MPC 3003 Y,C,M</t>
  </si>
  <si>
    <t>HP 290 G4 MT PC,HP 290 G4 MT PC, - 4CE208BJJW</t>
  </si>
  <si>
    <t>Silver LG Monitor 27 inches UK600 - 805SALE0G192</t>
  </si>
  <si>
    <t>HP Color Lserjet  Pro M283fdw - CNBR5081V</t>
  </si>
  <si>
    <t>Embassy of Italy Zimbabwe</t>
  </si>
  <si>
    <t>ZHD Consulting</t>
  </si>
  <si>
    <t>Tedglad Mining</t>
  </si>
  <si>
    <t xml:space="preserve">256 SSD Lexar Harddrive </t>
  </si>
  <si>
    <t>Harddrive</t>
  </si>
  <si>
    <t>HP 290 Corei5, 8GB RAM, 256SSD Desktop</t>
  </si>
  <si>
    <t>HP 20" LED Monitor</t>
  </si>
  <si>
    <t>Toner Cartridges - Black, Cyan and Magenta</t>
  </si>
  <si>
    <t>Ark Portal</t>
  </si>
  <si>
    <t>Toner Cartridges - Colour 446XL</t>
  </si>
  <si>
    <t>Diana Carbone</t>
  </si>
  <si>
    <t>Toner Cartridges - Black (Canon 445XL)</t>
  </si>
  <si>
    <t>Logitech H340 USB Headset</t>
  </si>
  <si>
    <t>Headset</t>
  </si>
  <si>
    <t>Audio Devices</t>
  </si>
  <si>
    <t>Starlink Satelite Antenna and WiFi Router Kit</t>
  </si>
  <si>
    <t>Satelite Antenna</t>
  </si>
  <si>
    <t>Embassy of the Holy See</t>
  </si>
  <si>
    <t>HP207/107A Black toner cartridge</t>
  </si>
  <si>
    <t>HP207/107A Cyan, Yello, Magenta toner cartridge</t>
  </si>
  <si>
    <t>Julius Mubvumba</t>
  </si>
  <si>
    <t>APC 1600VA UPS</t>
  </si>
  <si>
    <t>HP PRO 290 G9 Core i5-12400 8GB RAM 512GB SSD WIN10 Pro TOWER PC - Model #6B2T2EA</t>
  </si>
  <si>
    <t>HPE ProLiant ML30 Gen10 Plus E‑2314 2.8GHz 4‑core 1P 16GB‑U RAM,M.2 NVMe Enterprise 1TB - SSD</t>
  </si>
  <si>
    <t>Server</t>
  </si>
  <si>
    <t>Integrated Construction Projects</t>
  </si>
  <si>
    <t>MacBook Pro M2 LCD  Screen</t>
  </si>
  <si>
    <t>Screen</t>
  </si>
  <si>
    <t>HP AiO 24CBI5-1235U,8GB,512SSD,23.8INCH, WIN11 PRO  m#6V340EA</t>
  </si>
  <si>
    <t>SamSung Galaxy A9 10.5" Tablets</t>
  </si>
  <si>
    <t>Tablets</t>
  </si>
  <si>
    <t>Noma Halimana</t>
  </si>
  <si>
    <t>203A  Toner Cartridges</t>
  </si>
  <si>
    <t>Starlink Standard Kit Gen 3</t>
  </si>
  <si>
    <t>Ricoh MPC3003 Waste Toner Bottle</t>
  </si>
  <si>
    <t>Microsoft Surface Pro 7</t>
  </si>
  <si>
    <t>TP -LINK Jetstream 24 Port Switch TLSG2428P</t>
  </si>
  <si>
    <t>HP207/107A Cyan, magenta toner cartridge</t>
  </si>
  <si>
    <t>HP MT 29013-12100,8GB RAM, 512SSD Win 11 Pro</t>
  </si>
  <si>
    <t>HP 24CB15-1235U,12GB RAM,512SSD,Touch,Win 11 Pro</t>
  </si>
  <si>
    <t>Sandisk 32GB Flash drive</t>
  </si>
  <si>
    <t>IP Mini Fixed Bullet Camera UNV UN-IPC2124LB-SF 28A</t>
  </si>
  <si>
    <t>Outdoor UNV IN-IPC94144SFW-X25-F40C Bullet combo camera</t>
  </si>
  <si>
    <t>Fixed bullet junction boxes</t>
  </si>
  <si>
    <t>Camera box</t>
  </si>
  <si>
    <t>Network Keyboard &amp; joystick</t>
  </si>
  <si>
    <t>Joystick</t>
  </si>
  <si>
    <t>Mounting Brackets</t>
  </si>
  <si>
    <t>Brackets</t>
  </si>
  <si>
    <t>CCTV Surveillance hard drives</t>
  </si>
  <si>
    <t>Storage device</t>
  </si>
  <si>
    <t>TP-LINK Switch</t>
  </si>
  <si>
    <t>Outdor camera junction box</t>
  </si>
  <si>
    <t xml:space="preserve">Epson Workforce WF-2010 16XL </t>
  </si>
  <si>
    <t>HP 4303DW Colour Laserjet Pro Printer</t>
  </si>
  <si>
    <t>Helidrive Zim</t>
  </si>
  <si>
    <t>HP 3303FDW Multifunction Colour Printer</t>
  </si>
  <si>
    <t>Canon Pixma TR4645 Multifunction Printer</t>
  </si>
  <si>
    <t>Lydia</t>
  </si>
  <si>
    <t>MS Office 2019</t>
  </si>
  <si>
    <t>Software License</t>
  </si>
  <si>
    <t>Software</t>
  </si>
  <si>
    <t>MS Office 365 - 5 Users</t>
  </si>
  <si>
    <t>Kaspersky Antivirus</t>
  </si>
  <si>
    <t>Antivirus</t>
  </si>
  <si>
    <t>MS Office ODT</t>
  </si>
  <si>
    <t xml:space="preserve">Windows Server 2019 </t>
  </si>
  <si>
    <t>MS Office 365 Annual</t>
  </si>
  <si>
    <t xml:space="preserve">Bitdefender </t>
  </si>
  <si>
    <t>Sophos Firewall</t>
  </si>
  <si>
    <t>Embassy of Namibia</t>
  </si>
  <si>
    <t>MS Office 365 - 1 User</t>
  </si>
  <si>
    <t>Sophos XGS Email Protection License</t>
  </si>
  <si>
    <t>Windows Server 2019 Standard Edition</t>
  </si>
  <si>
    <t>Liana Mazza</t>
  </si>
  <si>
    <t>Sophos central intercept</t>
  </si>
  <si>
    <t>RequestID</t>
  </si>
  <si>
    <t>Requester</t>
  </si>
  <si>
    <t>Subject</t>
  </si>
  <si>
    <t>Billing Status</t>
  </si>
  <si>
    <t>Created Time</t>
  </si>
  <si>
    <t>Completed Time</t>
  </si>
  <si>
    <t>Time Elapsed</t>
  </si>
  <si>
    <t>Time Spent</t>
  </si>
  <si>
    <t>Technician</t>
  </si>
  <si>
    <t>Ashley Kadyaridzire</t>
  </si>
  <si>
    <t>FW: RFQ-Mobile phones</t>
  </si>
  <si>
    <t>Consulting</t>
  </si>
  <si>
    <t>Non Billable</t>
  </si>
  <si>
    <t>Nyasha Mavedzenge</t>
  </si>
  <si>
    <t>RFQ ( request for a quotation ) for laptops</t>
  </si>
  <si>
    <t>NSK Holdings</t>
  </si>
  <si>
    <t>Perpetua Sanganza</t>
  </si>
  <si>
    <t>RFQ:</t>
  </si>
  <si>
    <t>Nyasha Mapfumo</t>
  </si>
  <si>
    <t>George Mulingazo</t>
  </si>
  <si>
    <t>RFQ: Laptops</t>
  </si>
  <si>
    <t>Level 1 Support</t>
  </si>
  <si>
    <t>Eaglesvale junior school</t>
  </si>
  <si>
    <t>RFQ: Quotation Request</t>
  </si>
  <si>
    <t>Embassy of Italy</t>
  </si>
  <si>
    <t>Sales</t>
  </si>
  <si>
    <t>Mhondoro Ngezi RDC</t>
  </si>
  <si>
    <t>Mr. Machemedze</t>
  </si>
  <si>
    <t>RFQ-DELL laptop corei7</t>
  </si>
  <si>
    <t>RFQ: UPS</t>
  </si>
  <si>
    <t>RFQ: Automatic Voltage Stabiliser</t>
  </si>
  <si>
    <t>RFQ-HP &amp; Dell Laptops</t>
  </si>
  <si>
    <t>Jeniah Chinowaita</t>
  </si>
  <si>
    <t>RFQ: Fuser Unit</t>
  </si>
  <si>
    <t>Elena</t>
  </si>
  <si>
    <t>RFQ: All in One Printer</t>
  </si>
  <si>
    <t>Contractual</t>
  </si>
  <si>
    <t>Axis solutions</t>
  </si>
  <si>
    <t>Axis Solutions</t>
  </si>
  <si>
    <t>RFQ:MS Windows 11 pro and MS Office 365</t>
  </si>
  <si>
    <t>RFQ: Cisco 4221 and 4331 routers</t>
  </si>
  <si>
    <t>RFQ: Ricoh MPC 2503 Catridges</t>
  </si>
  <si>
    <t>Cuthbert Mwedzi</t>
  </si>
  <si>
    <t>RFQ:Ricoh MOC3003 Catridges</t>
  </si>
  <si>
    <t>Schweppes</t>
  </si>
  <si>
    <t>Uncle Ben</t>
  </si>
  <si>
    <t>RFQ: Parts for a Yoga X1 Thinkpad</t>
  </si>
  <si>
    <t>Chenjerai Mashangu</t>
  </si>
  <si>
    <t>RFQ: Waste Toner XEROX  Altalink C8170 printer</t>
  </si>
  <si>
    <t>Munashe Nhari</t>
  </si>
  <si>
    <t>RFQ: Desktops and Laptops</t>
  </si>
  <si>
    <t>RFQ:Server Request</t>
  </si>
  <si>
    <t>BUREAU FC</t>
  </si>
  <si>
    <t>RFQ: Server</t>
  </si>
  <si>
    <t>Innocent mhonda</t>
  </si>
  <si>
    <t>RFQ:All in one colour printer</t>
  </si>
  <si>
    <t>RFQ:Webcam</t>
  </si>
  <si>
    <t>RFQ:Mobile phones</t>
  </si>
  <si>
    <t>RFQ:Mailboxes storage increase</t>
  </si>
  <si>
    <t>RFQ: HDMI cable and extender</t>
  </si>
  <si>
    <t>RFQ: 2.5" 1TB SSD</t>
  </si>
  <si>
    <t>RFQ: Servers</t>
  </si>
  <si>
    <t>RFQ:SQL server licences</t>
  </si>
  <si>
    <t>Map Communication</t>
  </si>
  <si>
    <t>George</t>
  </si>
  <si>
    <t>RFQ:Sophos AP-6 - 420 Access Points</t>
  </si>
  <si>
    <t>Network</t>
  </si>
  <si>
    <t>RFQ: Gaming Laptop</t>
  </si>
  <si>
    <t>Tariro Chimhandamba</t>
  </si>
  <si>
    <t>RFQ: Damaged LCD</t>
  </si>
  <si>
    <t>pmu@hpa.co.zw</t>
  </si>
  <si>
    <t>RFQ: Printers</t>
  </si>
  <si>
    <t>ZIMWORX</t>
  </si>
  <si>
    <t>Mandi Marowa</t>
  </si>
  <si>
    <t>RFQ:DELL laptops</t>
  </si>
  <si>
    <t>RFQ: Server licenses</t>
  </si>
  <si>
    <t>FUZ</t>
  </si>
  <si>
    <t>Norman Maroto</t>
  </si>
  <si>
    <t>RFQ: Website Recreation</t>
  </si>
  <si>
    <t>Gateway Primary School</t>
  </si>
  <si>
    <t>RFQ: Laptops and desktop</t>
  </si>
  <si>
    <t>Linda Sarto</t>
  </si>
  <si>
    <t>St Marcellin’s Children’s Home</t>
  </si>
  <si>
    <t>Procurement</t>
  </si>
  <si>
    <t>RFQ: Ride-On Lawnmower</t>
  </si>
  <si>
    <t>Sussie Russell</t>
  </si>
  <si>
    <t>RFQ: Monitor</t>
  </si>
  <si>
    <t>Urgent Action Fund Africa (UAF)</t>
  </si>
  <si>
    <t>Marian Mazorodze</t>
  </si>
  <si>
    <t>RFQ: IP PHONES</t>
  </si>
  <si>
    <t>Fr Felipe</t>
  </si>
  <si>
    <t>RFQ: UPS Batteries</t>
  </si>
  <si>
    <t>Rodney Ferreira</t>
  </si>
  <si>
    <t>RFQ: Tp-link CPE510</t>
  </si>
  <si>
    <t>Shelton Dube</t>
  </si>
  <si>
    <t>RFQ: Rucus R350 access points</t>
  </si>
  <si>
    <t>RFQ: BROTHER PT H110 LABEL MAKER TAPE</t>
  </si>
  <si>
    <t>RFQ: SSD</t>
  </si>
  <si>
    <t>RFQ:Desktop (CPU and Monitor)</t>
  </si>
  <si>
    <t>Rural Infrastructure Development Agency</t>
  </si>
  <si>
    <t>Mr. Dendere</t>
  </si>
  <si>
    <t>RFQ: Printer Assessment</t>
  </si>
  <si>
    <t>RFQ: Starlink</t>
  </si>
  <si>
    <t>RFQ:Medium-Heavy duty Printer</t>
  </si>
  <si>
    <t>Claudio Calabro</t>
  </si>
  <si>
    <t>RFQ:Canon Cartridges</t>
  </si>
  <si>
    <t>Zephaniah Matabela</t>
  </si>
  <si>
    <t>Manicaland State University</t>
  </si>
  <si>
    <t>Freedom Mupandaguta</t>
  </si>
  <si>
    <t>RFQ: LCD Screen -HP 250 G8</t>
  </si>
  <si>
    <t>Luigi Bianchini</t>
  </si>
  <si>
    <t>RFQ:Headsets</t>
  </si>
  <si>
    <t>Advertising Industries</t>
  </si>
  <si>
    <t>Felistas Chikadaya</t>
  </si>
  <si>
    <t>RFQ: Corei7 Desktop and monitor</t>
  </si>
  <si>
    <t>RFQ:Corei3 and Corei5 desktops and monitors</t>
  </si>
  <si>
    <t>Wallet Bright</t>
  </si>
  <si>
    <t>Itai Ruocha</t>
  </si>
  <si>
    <t>RFQ: Email Hosting Quote</t>
  </si>
  <si>
    <t>RFQ:Colour printers</t>
  </si>
  <si>
    <t>RFQ:Corei7 Laptops</t>
  </si>
  <si>
    <t>Admin Assistant</t>
  </si>
  <si>
    <t>RFQ:Xerox 106R03396 High Capacity Toner Catridge</t>
  </si>
  <si>
    <t>RFQ:Sophos XGS Email Protection Licence</t>
  </si>
  <si>
    <t>Chemfloc</t>
  </si>
  <si>
    <t>Simbainashe Chemfloc</t>
  </si>
  <si>
    <t>RFQ: Chemfloc -  Hosting -  DNS pointing-</t>
  </si>
  <si>
    <t>Archdiocese of Harare</t>
  </si>
  <si>
    <t>Str Katsukunya</t>
  </si>
  <si>
    <t>RFQ: SiteName: Archdiocese of Harare -  ProductCategory: Batteries -  ProductName: 12V 7.2AH securi prod batteries-</t>
  </si>
  <si>
    <t>RFQ: Embassy of Namibia -  Printers -  IMAGING DRUM 126a - ce314a-</t>
  </si>
  <si>
    <t>Guiseppe Mazzarano</t>
  </si>
  <si>
    <t>RFQ: SiteName: Italian Embassy -  ProductCategory: Hardware -  ProductName- APC UPS</t>
  </si>
  <si>
    <t>James Kabudura</t>
  </si>
  <si>
    <t>RFQ-CCTV and Access control assessment</t>
  </si>
  <si>
    <t>Electronic Security</t>
  </si>
  <si>
    <t>Not Assigned</t>
  </si>
  <si>
    <t>RFQ: SiteName -Embassy of Holy See  ProductCategory -Hardware  ProductName-Server and a Desktop</t>
  </si>
  <si>
    <t>Alexandra Park Primary School</t>
  </si>
  <si>
    <t>Francis Kwari</t>
  </si>
  <si>
    <t>RFQ: SiteName -Alexandra Park  ProductCategory -Hardware  ProductName-LAptops(Lenovo)</t>
  </si>
  <si>
    <t>RFQ: SiteName -Alexandra Park Primary  ProductCategory -Hardware  ProductName-Projectors</t>
  </si>
  <si>
    <t>RFQ: SiteName -Embassy of Italy  ProductCategory -Hardware  ProductName-All In One desktops</t>
  </si>
  <si>
    <t>RFQ: SiteName -Embassy of Italy  ProductCategory -Hardware  ProductName-Desktops(CPUs and Monitors)</t>
  </si>
  <si>
    <t>RFQ: SiteName -HPA  ProductCategory -Software  ProductName-Sophos XGS 116 Security Appliance &amp; Xstream Protection License</t>
  </si>
  <si>
    <t>RFQ: SiteName -HPA  ProductCategory -Software  ProductName-Sophos XGS 126 Security Appliance &amp; Xstream Protection License</t>
  </si>
  <si>
    <t>RFQ: SiteName -Namibian Embassy  ProductCategory -Software  ProductName-Sophos Central Intercept X Advanced License</t>
  </si>
  <si>
    <t>RFQ: SiteName -Embassy of Italy  ProductCategory -Hardware  ProductName-Toner Catridges - 207A full set</t>
  </si>
  <si>
    <t>RFQ: SiteName -Namibian Embassy  ProductCategory -Hardware  ProductName- QUOTATION TO EXTEND WIFI COVERAGE</t>
  </si>
  <si>
    <t>RFQ: SiteName -HPA  ProductCategory -Hardware ProductName-HP Spectre X360 Corei7 laptop</t>
  </si>
  <si>
    <t>NMB Bank Limited</t>
  </si>
  <si>
    <t>Tinashe Shambambeva</t>
  </si>
  <si>
    <t>RFQ: SiteName -NMB Bank Limited  ProductCategory -Hardware  ProductName-HP SPECTRE X360 LAPTOPS</t>
  </si>
  <si>
    <t>RFQ: SiteName -NMB Bank Limited  ProductCategory -Hardware  ProductName-iPair Air</t>
  </si>
  <si>
    <t>RFQ: SiteName -Embassy of Italy  ProductCategory -Hardware  ProductName-Desktop and Monitor</t>
  </si>
  <si>
    <t>RFQ: SiteName -NMB Bank Limited  ProductCategory -Hardware  ProductName-Desktop and Monitor</t>
  </si>
  <si>
    <t>Chinhoyi Univeristy of Technology</t>
  </si>
  <si>
    <t>Pride Mutangi</t>
  </si>
  <si>
    <t>RFQ: SiteName -CUT  ProductCategory -Hardware  ProductName-Seagate Harddrives</t>
  </si>
  <si>
    <t>Tawanda Muchineripi</t>
  </si>
  <si>
    <t>RFQ: SiteName -Integrated Construction Projects  ProductCategory -Hardware  ProductName-LG 27" 4K UHD Monitor</t>
  </si>
  <si>
    <t>RFQ: SiteName -NMB Bank  ProductCategory -Hardware  ProductName-Desktops and Printers</t>
  </si>
  <si>
    <t>RFQ: SiteName -NMB Bank  ProductCategory -Hardware  ProductName- Fix and Supply Network Installation</t>
  </si>
  <si>
    <t>Nash Kadzinga</t>
  </si>
  <si>
    <t>RFQ: SiteName -Ivory Medical  ProductCategory -Hardware  ProductName-Lenovo Thinkpad L15</t>
  </si>
  <si>
    <t>RFQ: SiteName -Embassy Of Italy  ProductCategory -Hardware  ProductName-Ricoh MPc3003 cartridges</t>
  </si>
  <si>
    <t>Agricultural and Rural development Authority</t>
  </si>
  <si>
    <t>Nyasha Ndoro</t>
  </si>
  <si>
    <t>RFQ: SiteName -Agricultural and Rural development Authority  ProductCategory -Hardware  ProductName-Samsung Galaxy A05</t>
  </si>
  <si>
    <t>RFQ: SiteName -ICP  ProductCategory -Hardware  ProductName-MacBook LCD screen replacement</t>
  </si>
  <si>
    <t>Brian Chatikobo</t>
  </si>
  <si>
    <t>RFQ: SiteName -Ivory Medical  ProductCategory -Hardware  ProductName- Samsung A9 Tablet</t>
  </si>
  <si>
    <t>RFQ: SiteName -Ivory medical  ProductCategory -Hardware  ProductName-Microsoft Surface Pro Tablet</t>
  </si>
  <si>
    <t>RFQ: 203A cartridges SiteName -Ivory medical  ProductCategory -Printing  ProductName-Catridges</t>
  </si>
  <si>
    <t>Noma</t>
  </si>
  <si>
    <t>RFQ:Lenovo ThinkPad Laptop SiteName -Walk In  ProductCategory - Computer Hardware ProductName-Lenovo</t>
  </si>
  <si>
    <t>Chipo Vutahwarova</t>
  </si>
  <si>
    <t>RFQ: SiteName -ICP  ProductCategory -Hardware  ProductName- Core i7 laptops</t>
  </si>
  <si>
    <t>Midlands State University</t>
  </si>
  <si>
    <t>RFQ: SiteName -MSU  ProductCategory -Hardware  ProductName-Desktops and Printers</t>
  </si>
  <si>
    <t>Sister Phume</t>
  </si>
  <si>
    <t>RFQ: SiteName -Walk in  ProductCategory -Hardware  ProductName-Hard drive casing</t>
  </si>
  <si>
    <t>RFQ: SiteName -Italian Embassy  ProductCategory -Hardware  ProductName- Waste Toner Bottle</t>
  </si>
  <si>
    <t>RFQ: SiteName -ICP  ProductCategory -Hardware  ProductName-Hp laptops</t>
  </si>
  <si>
    <t>RFQ: SiteName -Ivory medical  ProductCategory -Hardware  ProductName- 203A toner cartridges</t>
  </si>
  <si>
    <t>ICE</t>
  </si>
  <si>
    <t>Michaela</t>
  </si>
  <si>
    <t>RFQ: I.C.E -  Rentals -  Equipment leasing services-Zambia-</t>
  </si>
  <si>
    <t>RFQ: ICE -  Rentals -  Equipment leasing services- Zimbabwe</t>
  </si>
  <si>
    <t>Kadoma Workshop</t>
  </si>
  <si>
    <t>Wisdom Tauzeni</t>
  </si>
  <si>
    <t>RFQ: Kadoma Workshop -  Consulting -  Instatoll consultancy services</t>
  </si>
  <si>
    <t>Kadoma tollgate</t>
  </si>
  <si>
    <t>RFQ: Kadoma Tollgate -  Consulting -  Instatoll consulting services</t>
  </si>
  <si>
    <t>Bulawayo workshop</t>
  </si>
  <si>
    <t>RFQ: Bulawayo Workshop -  Consulting -  Instatoll consultancy services</t>
  </si>
  <si>
    <t>Headlands workshop</t>
  </si>
  <si>
    <t>RFQ: Headlands Workshop -  Consulting -  Instatoll consultancy services</t>
  </si>
  <si>
    <t>Norton</t>
  </si>
  <si>
    <t>RFQ: Norton-  Consulting -  Instatoll consultancy services</t>
  </si>
  <si>
    <t>Mutare</t>
  </si>
  <si>
    <t>RFQ: Mutare - Consulting -  Instatoll consultancy services</t>
  </si>
  <si>
    <t>Goromonzi</t>
  </si>
  <si>
    <t>RFQ: Goromonzi -  Consulting -  Instatoll consultancy services</t>
  </si>
  <si>
    <t>Rusape</t>
  </si>
  <si>
    <t>RFQ: Rusape -  Consulting -  Instatoll consultancy services</t>
  </si>
  <si>
    <t>Figtree</t>
  </si>
  <si>
    <t>RFQ: Figtree -  Consulting-  Instatoll consultancy services-</t>
  </si>
  <si>
    <t>Ntabazinduna</t>
  </si>
  <si>
    <t>RFQ: Ntabazinduna -  Consulting - Instatoll consultancy services</t>
  </si>
  <si>
    <t>Gweru North</t>
  </si>
  <si>
    <t>RFQ: Gweru North -  Consulting-  Instatoll consultancy services</t>
  </si>
  <si>
    <t>Gweru South</t>
  </si>
  <si>
    <t>RFQ: Gweru South-  Consulting -  Instatoll consultancy services</t>
  </si>
  <si>
    <t>RFQ: ICP -  Hardware -  8Gb RAM, 2280 NVMe SSD(256 Gb) for an HP Probook 450 G7</t>
  </si>
  <si>
    <t>RFQ: ICP -  Hardware -  Disk Drive, Fan repositioning</t>
  </si>
  <si>
    <t>RFQ: ICP -  Hardware -  Bazel covers for Dell Inspiron 15 3000 and office activation</t>
  </si>
  <si>
    <t>Tafadzwa ICP</t>
  </si>
  <si>
    <t>RFQ: ICP -  Hardware -  Battery for an Acer laptop</t>
  </si>
  <si>
    <t>Gilbert Tekwa</t>
  </si>
  <si>
    <t>RFQ: ICP -  Hardware -  external hard drives</t>
  </si>
  <si>
    <t>RFQ: ICP  Hardware - SSDs and RAM chips</t>
  </si>
  <si>
    <t>RFQ: Namibian Embassy -  Hardware -  XEROX B7025 DRUM UNIT</t>
  </si>
  <si>
    <t>RFQ: ICP -  Hardware -  Multifunction Printer</t>
  </si>
  <si>
    <t>RFQ: ICP -  Hardware -  Cartridges for an HP OfficeJet Pro 7720</t>
  </si>
  <si>
    <t>Tatenda (HPA IT Officer)</t>
  </si>
  <si>
    <t>RFQ:HPA -  Hardware -  TP LINK 24 PORT SWITCH</t>
  </si>
  <si>
    <t>RFQ: HPA -  Hardware -  1500VA UPSs</t>
  </si>
  <si>
    <t>Samantha</t>
  </si>
  <si>
    <t>RFQ: Schweppes-  Hardware-  Thinkbook corei7 laptop</t>
  </si>
  <si>
    <t>ICP</t>
  </si>
  <si>
    <t>HP 250 G6 SN-CND7395VNV Report</t>
  </si>
  <si>
    <t>Computer Hardware</t>
  </si>
  <si>
    <t>Billable</t>
  </si>
  <si>
    <t>Rob</t>
  </si>
  <si>
    <t>RFQ: Walk In -  Hardware- Bazel covers for a Lenovo IdeaPad 1</t>
  </si>
  <si>
    <t>RFQ: -HP W147A Toners Cartridges</t>
  </si>
  <si>
    <t>Quotation</t>
  </si>
  <si>
    <t>RFQ: Embassy of Namibia -  Software -  Central Sophos license</t>
  </si>
  <si>
    <t>RFQ:Embassy of Italy-  Hardware-  Toner Crtridges 207A</t>
  </si>
  <si>
    <t>RFQ: Embassy of Italy -  Hardware -  HP core i3 desktop</t>
  </si>
  <si>
    <t>Liana Mazza - Personal</t>
  </si>
  <si>
    <t>RFQ:Walk In -  Software -  MS Office 2019</t>
  </si>
  <si>
    <t>RFQ: HPA-  Software-  Database Development Enhancements</t>
  </si>
  <si>
    <t>RFQ: Embassy of Italy - Hardware -  Core i5 All-In-One desktop</t>
  </si>
  <si>
    <t>Brilliant Mashiri</t>
  </si>
  <si>
    <t>RFQ: Walk in -  Hardware -  Microsoft Pro 9 keyboard</t>
  </si>
  <si>
    <t>Helidrive</t>
  </si>
  <si>
    <t>RFQ: Helidrive -  Hardware -  Laptops</t>
  </si>
  <si>
    <t>RFQ: Helidrive -  Hardware -  Multifunction colour printers</t>
  </si>
  <si>
    <t>Sister Noku</t>
  </si>
  <si>
    <t>RFQ: Holy See-  Hardware-  Toner cartridges</t>
  </si>
  <si>
    <t>RFQ: Italian Embassy - Hardware-  CCTV Surveillance HDDs</t>
  </si>
  <si>
    <t>RFQ: Walk in -  Hardware -  canon printer</t>
  </si>
  <si>
    <t>SaleID</t>
  </si>
  <si>
    <t>Comments</t>
  </si>
  <si>
    <t>HWS1</t>
  </si>
  <si>
    <t>27U Network Cabinet</t>
  </si>
  <si>
    <t>HWS2</t>
  </si>
  <si>
    <t>Double faceplates</t>
  </si>
  <si>
    <t>Faceplates</t>
  </si>
  <si>
    <t>HWS3</t>
  </si>
  <si>
    <t>Single faceplates</t>
  </si>
  <si>
    <t>HWS4</t>
  </si>
  <si>
    <t>Cat6 24 Port patch panel</t>
  </si>
  <si>
    <t>Patchpanels</t>
  </si>
  <si>
    <t>HWS5</t>
  </si>
  <si>
    <t>1U Brushpanels</t>
  </si>
  <si>
    <t>Brushpanels</t>
  </si>
  <si>
    <t>HWS6</t>
  </si>
  <si>
    <t>Cat6 3M Flyleads</t>
  </si>
  <si>
    <t>Flyleads</t>
  </si>
  <si>
    <t>HWS7</t>
  </si>
  <si>
    <t>6U Cabinet Network</t>
  </si>
  <si>
    <t>Heli Drive</t>
  </si>
  <si>
    <t>Heli Drive Zim</t>
  </si>
  <si>
    <t>HWS8</t>
  </si>
  <si>
    <t>Cat6 Network Cable - Roll</t>
  </si>
  <si>
    <t>Cable</t>
  </si>
  <si>
    <t>HWS9</t>
  </si>
  <si>
    <t>Trunking</t>
  </si>
  <si>
    <t>HWS10</t>
  </si>
  <si>
    <t>Brush Tide</t>
  </si>
  <si>
    <t>HWS11</t>
  </si>
  <si>
    <t>24 Port patch panel</t>
  </si>
  <si>
    <t>HWS12</t>
  </si>
  <si>
    <t>4 Way Adapter</t>
  </si>
  <si>
    <t>Power adapter</t>
  </si>
  <si>
    <t>HWS 15</t>
  </si>
  <si>
    <t>1TB Western Digital HDD</t>
  </si>
  <si>
    <t>Hard-drive</t>
  </si>
  <si>
    <t>HWS 13</t>
  </si>
  <si>
    <t>HP Probook 450 G10, 8GB RAM, 512SSD,Win 11 pro</t>
  </si>
  <si>
    <t>HWS 14</t>
  </si>
  <si>
    <t>HP Prodesk G9,16GB RAM,512SSD,Win 11 pro</t>
  </si>
  <si>
    <t>HWS 16</t>
  </si>
  <si>
    <t>8GB DDR4 RAM</t>
  </si>
  <si>
    <t>Cakr Freight Services</t>
  </si>
  <si>
    <t>HWS 17</t>
  </si>
  <si>
    <t>Samsung  Galaxy Tablets A9</t>
  </si>
  <si>
    <t>NMB Bank limited</t>
  </si>
  <si>
    <t>HWS 18</t>
  </si>
  <si>
    <t>Epson Cartridges</t>
  </si>
  <si>
    <t>3180</t>
  </si>
  <si>
    <t>HWS 19</t>
  </si>
  <si>
    <t>HP 207A Cartridges</t>
  </si>
  <si>
    <t>HWS 20</t>
  </si>
  <si>
    <t>Pantum 2200 Black Toners</t>
  </si>
  <si>
    <t>Toners</t>
  </si>
  <si>
    <t>3203</t>
  </si>
  <si>
    <t>HWS 21</t>
  </si>
  <si>
    <t>Lenovo Thinkpad L15, Gen 1, 8GB RAM, 512SSD WIN 11 PRO</t>
  </si>
  <si>
    <t>ST Marcellin's</t>
  </si>
  <si>
    <t>No quote sale</t>
  </si>
  <si>
    <t>HWS 22</t>
  </si>
  <si>
    <t>HP All IN One Desktops, Corei5,8GB RAM, 512SSD, Win 11 Pro,24 "</t>
  </si>
  <si>
    <t>HWS 23</t>
  </si>
  <si>
    <t>HWS 24</t>
  </si>
  <si>
    <t>2TB Seagate external harddrives</t>
  </si>
  <si>
    <t>Harddrives</t>
  </si>
  <si>
    <t>HWS 25</t>
  </si>
  <si>
    <t>32GB Sandisk flashdrives</t>
  </si>
  <si>
    <t>Flashdrives</t>
  </si>
  <si>
    <t>HWS 26</t>
  </si>
  <si>
    <t>HP Corei5, 8GB RAM, 1TB SSD - CPU Desktop</t>
  </si>
  <si>
    <t>HWS 27</t>
  </si>
  <si>
    <t>HP Proliant Server</t>
  </si>
  <si>
    <t>HWS 28</t>
  </si>
  <si>
    <t>Cat6 Network Cable - Roll -20m</t>
  </si>
  <si>
    <t>HWS 29</t>
  </si>
  <si>
    <t>Door Closer</t>
  </si>
  <si>
    <t>Door closer</t>
  </si>
  <si>
    <t>HWS 30</t>
  </si>
  <si>
    <t>GreenCall Point</t>
  </si>
  <si>
    <t>Access control break glass</t>
  </si>
  <si>
    <t>HWS 31</t>
  </si>
  <si>
    <t>24x14 Trunking</t>
  </si>
  <si>
    <t>HWS 32</t>
  </si>
  <si>
    <t>Rip cord</t>
  </si>
  <si>
    <t>HWS 33</t>
  </si>
  <si>
    <t>Plug top - 3 pin</t>
  </si>
  <si>
    <t>Plug top</t>
  </si>
  <si>
    <t>HWS 34</t>
  </si>
  <si>
    <t>12V 7AH Battery</t>
  </si>
  <si>
    <t>Battery</t>
  </si>
  <si>
    <t>HWS 38</t>
  </si>
  <si>
    <t>HIKVISION Fingerprint Reader</t>
  </si>
  <si>
    <t>Fingerprint Reader</t>
  </si>
  <si>
    <t>HWS 35</t>
  </si>
  <si>
    <t>Power supply unit - ZETCO</t>
  </si>
  <si>
    <t>Power supply unit</t>
  </si>
  <si>
    <t>HWS 37</t>
  </si>
  <si>
    <t>Ajara Trucking Logistics</t>
  </si>
  <si>
    <t>HWS 36</t>
  </si>
  <si>
    <t>TP Link 5 Port Switch</t>
  </si>
  <si>
    <t>Switch</t>
  </si>
  <si>
    <t>HWS 39</t>
  </si>
  <si>
    <t>Logitech H111 Headsets</t>
  </si>
  <si>
    <t>Headsets</t>
  </si>
  <si>
    <t>Audio &amp; Visual</t>
  </si>
  <si>
    <t>Sharon school</t>
  </si>
  <si>
    <t>HWS 43</t>
  </si>
  <si>
    <t>Ricoh MPC2011 Toner cartridges</t>
  </si>
  <si>
    <t>TKT019</t>
  </si>
  <si>
    <t>HWS 40</t>
  </si>
  <si>
    <t>Steve</t>
  </si>
  <si>
    <t>HWS 41</t>
  </si>
  <si>
    <t>HP Laserjet Printer MFP M3303sdw</t>
  </si>
  <si>
    <t>HWS 42</t>
  </si>
  <si>
    <t>HP 290i5, 8GB RAM, 512SSD CPU</t>
  </si>
  <si>
    <t>TKT020</t>
  </si>
  <si>
    <t>HWS 44</t>
  </si>
  <si>
    <t>MikroTik Router</t>
  </si>
  <si>
    <t>Router</t>
  </si>
  <si>
    <t>Punch Bowl</t>
  </si>
  <si>
    <t>TKT023</t>
  </si>
  <si>
    <t>HWS 45</t>
  </si>
  <si>
    <t>HP 203A Toner cartridge</t>
  </si>
  <si>
    <t>HWS 46</t>
  </si>
  <si>
    <t>APC Smart UPS 2000VA</t>
  </si>
  <si>
    <t>Wener Burkhard</t>
  </si>
  <si>
    <t>TKT033</t>
  </si>
  <si>
    <t>HWS 47</t>
  </si>
  <si>
    <t>APC Smart UPS 1500VA</t>
  </si>
  <si>
    <t>HWS 48</t>
  </si>
  <si>
    <t>APC Back-UPS 950VA</t>
  </si>
  <si>
    <t>HWS 49</t>
  </si>
  <si>
    <t>Dahua 2MP Smart Bullet Camera</t>
  </si>
  <si>
    <t>Camera</t>
  </si>
  <si>
    <t>TKT031</t>
  </si>
  <si>
    <t>HWS 50</t>
  </si>
  <si>
    <t>PFA134 Junction box</t>
  </si>
  <si>
    <t>Junction box</t>
  </si>
  <si>
    <t>CCTV</t>
  </si>
  <si>
    <t>HWS 51</t>
  </si>
  <si>
    <t>PFM800 Passive channel Baun</t>
  </si>
  <si>
    <t>Channel baun</t>
  </si>
  <si>
    <t>HWS  52</t>
  </si>
  <si>
    <t>Cat6 cable 20m</t>
  </si>
  <si>
    <t>HWS 55</t>
  </si>
  <si>
    <t>HWS 53</t>
  </si>
  <si>
    <t xml:space="preserve">Ricoh MPC2011 Waste Toner Bottle </t>
  </si>
  <si>
    <t>Waste toner bottle</t>
  </si>
  <si>
    <t>TKT036</t>
  </si>
  <si>
    <t>HWS 54</t>
  </si>
  <si>
    <t>HP 222A toner cartridge black, cyan,yellow and magenta</t>
  </si>
  <si>
    <t>Toner cartridges</t>
  </si>
  <si>
    <t>TKT037</t>
  </si>
  <si>
    <t>HWS 56</t>
  </si>
  <si>
    <t>ALL-IN-ONE Desktop,24", 8GB RAM, 512SSD, 13th GEN</t>
  </si>
  <si>
    <t>TKT045</t>
  </si>
  <si>
    <t>HWS 57</t>
  </si>
  <si>
    <t>TKT046</t>
  </si>
  <si>
    <t>HWS 58</t>
  </si>
  <si>
    <t>NEC Professional Display Screen 55", Multisync 4K P551</t>
  </si>
  <si>
    <t>Display Screen</t>
  </si>
  <si>
    <t>TKT048</t>
  </si>
  <si>
    <t>HWS 59</t>
  </si>
  <si>
    <t>Oraimo USD-USB-C Chargers</t>
  </si>
  <si>
    <t>Power adaptors</t>
  </si>
  <si>
    <t>TKT050</t>
  </si>
  <si>
    <t>HWS 60</t>
  </si>
  <si>
    <t>Walk -In</t>
  </si>
  <si>
    <t>HWS 61</t>
  </si>
  <si>
    <t>Starlink ethernet adapter</t>
  </si>
  <si>
    <t>Ethernet adapter</t>
  </si>
  <si>
    <t>TKT058</t>
  </si>
  <si>
    <t>HWS 62</t>
  </si>
  <si>
    <t>HWS 63</t>
  </si>
  <si>
    <t>HP 222A toner cartridge black,yellow and magenta</t>
  </si>
  <si>
    <t>HWS 64</t>
  </si>
  <si>
    <t>NEC Projector</t>
  </si>
  <si>
    <t>Projector</t>
  </si>
  <si>
    <t>Steve Schandendorf</t>
  </si>
  <si>
    <t>HWS 65</t>
  </si>
  <si>
    <t>FUNC Mobile Motorized Stand</t>
  </si>
  <si>
    <t>Motorized stand</t>
  </si>
  <si>
    <t>HWS 66</t>
  </si>
  <si>
    <t>Shure Table Microphone</t>
  </si>
  <si>
    <t xml:space="preserve"> Microphone</t>
  </si>
  <si>
    <t>HWS 67</t>
  </si>
  <si>
    <t>Shure charging station</t>
  </si>
  <si>
    <t>Charging station</t>
  </si>
  <si>
    <t>HWS 68</t>
  </si>
  <si>
    <t>Shure wireless transmitter</t>
  </si>
  <si>
    <t>Wireless transmitter</t>
  </si>
  <si>
    <t>HWS 69</t>
  </si>
  <si>
    <t>Shure earpiece</t>
  </si>
  <si>
    <t>Headset microphone</t>
  </si>
  <si>
    <t>HWS 70</t>
  </si>
  <si>
    <t>Shure audio network interface</t>
  </si>
  <si>
    <t>Network interface</t>
  </si>
  <si>
    <t>HWS 71</t>
  </si>
  <si>
    <t>Shure microflex wireless microphones</t>
  </si>
  <si>
    <t xml:space="preserve">Microphone </t>
  </si>
  <si>
    <t>HWS 72</t>
  </si>
  <si>
    <t>Samsung remote</t>
  </si>
  <si>
    <t>Remote</t>
  </si>
  <si>
    <t>HWS 73</t>
  </si>
  <si>
    <t>Samsung display 55"</t>
  </si>
  <si>
    <t>Digital display screen</t>
  </si>
  <si>
    <t>HWS 74</t>
  </si>
  <si>
    <t>Samsung display 75"</t>
  </si>
  <si>
    <t>HWS 75</t>
  </si>
  <si>
    <t>Samsung display 48"</t>
  </si>
  <si>
    <t>HWS 76</t>
  </si>
  <si>
    <t>Samsung display 65"</t>
  </si>
  <si>
    <t>HWS 77</t>
  </si>
  <si>
    <t>Samsung digital flipboard</t>
  </si>
  <si>
    <t>Digital flipboard</t>
  </si>
  <si>
    <t>HWS 78</t>
  </si>
  <si>
    <t>Polycom SoundStation2 Extended Microphone</t>
  </si>
  <si>
    <t>HWS 79</t>
  </si>
  <si>
    <t>Panasonic projector</t>
  </si>
  <si>
    <t>HWS 80</t>
  </si>
  <si>
    <t>Meanwell power supply adapter</t>
  </si>
  <si>
    <t>Adapter</t>
  </si>
  <si>
    <t>HWS 81</t>
  </si>
  <si>
    <t>Global invacom gateway termination unit</t>
  </si>
  <si>
    <t>Gateway termination unit</t>
  </si>
  <si>
    <t>HWS 82</t>
  </si>
  <si>
    <t>Exterity media player</t>
  </si>
  <si>
    <t>Media player</t>
  </si>
  <si>
    <t>HWS 83</t>
  </si>
  <si>
    <t>DigiTools HDMI line receiver</t>
  </si>
  <si>
    <t>HDMI line receiver</t>
  </si>
  <si>
    <t>HWS 84</t>
  </si>
  <si>
    <t>Crestron fliptop</t>
  </si>
  <si>
    <t>Flipton</t>
  </si>
  <si>
    <t>HWS 85</t>
  </si>
  <si>
    <t>Crestron wireless gateway</t>
  </si>
  <si>
    <t xml:space="preserve">Gateway </t>
  </si>
  <si>
    <t>HWS 86</t>
  </si>
  <si>
    <t>Crestron touch panel</t>
  </si>
  <si>
    <t>Touch screen panel</t>
  </si>
  <si>
    <t>HWS 87</t>
  </si>
  <si>
    <t>Crestron DM room controller</t>
  </si>
  <si>
    <t>DM room controller</t>
  </si>
  <si>
    <t>HWS 88</t>
  </si>
  <si>
    <t>Crestron cable retractor</t>
  </si>
  <si>
    <t>Cable retractor</t>
  </si>
  <si>
    <t>HWS 89</t>
  </si>
  <si>
    <t>Crestron digital signal processor</t>
  </si>
  <si>
    <t>Digital signal processor</t>
  </si>
  <si>
    <t>HWS 90</t>
  </si>
  <si>
    <t>Crestron digital graphics engine</t>
  </si>
  <si>
    <t>Digital engine</t>
  </si>
  <si>
    <t>HWS 91</t>
  </si>
  <si>
    <t>Crestron audio amplifier</t>
  </si>
  <si>
    <t>Amplifier</t>
  </si>
  <si>
    <t>Walk-in</t>
  </si>
  <si>
    <t>HWS 92</t>
  </si>
  <si>
    <t>Crestron Advanced Control Processor</t>
  </si>
  <si>
    <t>Audio Processor</t>
  </si>
  <si>
    <t>HWS 93</t>
  </si>
  <si>
    <t>Crestron DigitalMedia Presentation System</t>
  </si>
  <si>
    <t>Presentation system</t>
  </si>
  <si>
    <t>HWS 94</t>
  </si>
  <si>
    <t>Crestron Digital Media Distributor</t>
  </si>
  <si>
    <t>Media distributor</t>
  </si>
  <si>
    <t>HWS 95</t>
  </si>
  <si>
    <t>Crestron HDMI Receiver</t>
  </si>
  <si>
    <t>Media receiver</t>
  </si>
  <si>
    <t>HWS 96</t>
  </si>
  <si>
    <t>Crestron Air Media</t>
  </si>
  <si>
    <t>Air media</t>
  </si>
  <si>
    <t>HWS 97</t>
  </si>
  <si>
    <t>Crestron DigitalMedia Transmitter</t>
  </si>
  <si>
    <t>Media transmitter</t>
  </si>
  <si>
    <t>HWS 98</t>
  </si>
  <si>
    <t>Crestron Automation Processor</t>
  </si>
  <si>
    <t>Automation processor</t>
  </si>
  <si>
    <t>HWS 99</t>
  </si>
  <si>
    <t>Crestron Regulated Power Supply</t>
  </si>
  <si>
    <t>Power supply</t>
  </si>
  <si>
    <t>HWS 100</t>
  </si>
  <si>
    <t>Crestron Signaling Speaker</t>
  </si>
  <si>
    <t>Speakers</t>
  </si>
  <si>
    <t>HWS 101</t>
  </si>
  <si>
    <t>Crestron Control Block</t>
  </si>
  <si>
    <t>Control block</t>
  </si>
  <si>
    <t>HWS 102</t>
  </si>
  <si>
    <t>Crestron wall mount keypads</t>
  </si>
  <si>
    <t>Wall mount keypads</t>
  </si>
  <si>
    <t>HWS 103</t>
  </si>
  <si>
    <t>Crestron ceiling-mounted occupancy sensor</t>
  </si>
  <si>
    <t>Sensor</t>
  </si>
  <si>
    <t>HWS 104</t>
  </si>
  <si>
    <t>DAS Audio Speaker</t>
  </si>
  <si>
    <t>HWS 105</t>
  </si>
  <si>
    <t>DAS Action Audio Subwoofer</t>
  </si>
  <si>
    <t>HWS 106</t>
  </si>
  <si>
    <t>DAS Power Amplifier</t>
  </si>
  <si>
    <t>HWS 107</t>
  </si>
  <si>
    <t>DAS Loudspeaker</t>
  </si>
  <si>
    <t>HWS 108</t>
  </si>
  <si>
    <t>Silver 27" LG UHD 4K Monitor</t>
  </si>
  <si>
    <t>Computing device</t>
  </si>
  <si>
    <t>HWS 109</t>
  </si>
  <si>
    <t>VGA Cables</t>
  </si>
  <si>
    <t>Cables</t>
  </si>
  <si>
    <t>HWS 110</t>
  </si>
  <si>
    <t>Power packs</t>
  </si>
  <si>
    <t>HWS 111</t>
  </si>
  <si>
    <t>Kettle plugs</t>
  </si>
  <si>
    <t>HWS 112</t>
  </si>
  <si>
    <t>2 PIN Power supply cables</t>
  </si>
  <si>
    <t>HWS 113</t>
  </si>
  <si>
    <t>2 Pin kettle plugs</t>
  </si>
  <si>
    <t>HWS 114</t>
  </si>
  <si>
    <t>K-Mains</t>
  </si>
  <si>
    <t>HWS 115</t>
  </si>
  <si>
    <t>2-pin to 3-pin round Adapters</t>
  </si>
  <si>
    <t>Adapters</t>
  </si>
  <si>
    <t>HWS 116</t>
  </si>
  <si>
    <t>Printer Cable</t>
  </si>
  <si>
    <t>HWS 117</t>
  </si>
  <si>
    <t>Projector Beams</t>
  </si>
  <si>
    <t>Beams</t>
  </si>
  <si>
    <t>HWS 118</t>
  </si>
  <si>
    <t>Speaker Mounts</t>
  </si>
  <si>
    <t>Speaker mounts</t>
  </si>
  <si>
    <t>HWS 119</t>
  </si>
  <si>
    <t>Unbranded HDMI Receiver</t>
  </si>
  <si>
    <t>Receiver</t>
  </si>
  <si>
    <t>HWS 120</t>
  </si>
  <si>
    <t>Unbranded digital media transmitter</t>
  </si>
  <si>
    <t>Digital transmitter</t>
  </si>
  <si>
    <t>HWS 121</t>
  </si>
  <si>
    <t>Unbranded Quad Gateway Termination Unit</t>
  </si>
  <si>
    <t>Termination unit</t>
  </si>
  <si>
    <t>HWS 122</t>
  </si>
  <si>
    <t>Unbranded remote</t>
  </si>
  <si>
    <t>HWS 123</t>
  </si>
  <si>
    <t>Power Distribution Unit</t>
  </si>
  <si>
    <t>HWS 124</t>
  </si>
  <si>
    <t>Unbranded Digital Signage Media Player</t>
  </si>
  <si>
    <t>Media Player</t>
  </si>
  <si>
    <t>HWS 125</t>
  </si>
  <si>
    <t>Unbranded HDMI cables</t>
  </si>
  <si>
    <t>HWS 126</t>
  </si>
  <si>
    <t>Crestron TST-902-DSW</t>
  </si>
  <si>
    <t>Touch screen docking station</t>
  </si>
  <si>
    <t>HWS 127</t>
  </si>
  <si>
    <t>Telephone cable</t>
  </si>
  <si>
    <t>Namibian embassy</t>
  </si>
  <si>
    <t>HWS 128</t>
  </si>
  <si>
    <t>Cat6 cable</t>
  </si>
  <si>
    <t>Netwrking Equipment</t>
  </si>
  <si>
    <t>HWS 129</t>
  </si>
  <si>
    <t>Trunking 16x16mm</t>
  </si>
  <si>
    <t>HWS 130</t>
  </si>
  <si>
    <t>Backbox</t>
  </si>
  <si>
    <t>HWS 131</t>
  </si>
  <si>
    <t xml:space="preserve">256GB NVMe m.2  SDD </t>
  </si>
  <si>
    <t>SSD</t>
  </si>
  <si>
    <t>Punchbowl</t>
  </si>
  <si>
    <t>HWS 132</t>
  </si>
  <si>
    <t>256GB NVMe m.2 SSD</t>
  </si>
  <si>
    <t>Mr Gwanzura</t>
  </si>
  <si>
    <t>SALEID</t>
  </si>
  <si>
    <t>SS1</t>
  </si>
  <si>
    <t>Software licence</t>
  </si>
  <si>
    <t>SS2</t>
  </si>
  <si>
    <t>SS3</t>
  </si>
  <si>
    <t>SS4</t>
  </si>
  <si>
    <t>Kaspersky - 5 users</t>
  </si>
  <si>
    <t>SS5</t>
  </si>
  <si>
    <t>TKT001</t>
  </si>
  <si>
    <t>SS6</t>
  </si>
  <si>
    <t>SS7</t>
  </si>
  <si>
    <t>MS Offie 365 - Business Standard</t>
  </si>
  <si>
    <t>SS8</t>
  </si>
  <si>
    <t>Sophos XGS 116 Xstream Protection</t>
  </si>
  <si>
    <t>SS9</t>
  </si>
  <si>
    <t>Sphos XGS 116 Email Protection</t>
  </si>
  <si>
    <t>Ticket Status</t>
  </si>
  <si>
    <t>RFQ: Italian Embassy -  Hardware -  All-In-One Desktops</t>
  </si>
  <si>
    <t>Closed</t>
  </si>
  <si>
    <t>RFQ:NMB  -  Hardware -  Lenovo power adapters</t>
  </si>
  <si>
    <t>Umberto Malnati</t>
  </si>
  <si>
    <t>RFQ: Italian Embassy -  Hardware -  TP LINK access point</t>
  </si>
  <si>
    <t>RFQ: NMB Bank  hardware -  HP toners and flashdrives</t>
  </si>
  <si>
    <t>RFQ: HPAl -  Hardware - l 1TB 3.5 inch HDD</t>
  </si>
  <si>
    <t>Financial Clearing Bureau</t>
  </si>
  <si>
    <t>Menash</t>
  </si>
  <si>
    <t>RFQ: FCB -  Hardware -  HP Proliant Server - PortcullIs PL-</t>
  </si>
  <si>
    <t>RFQ: HPA -  Software-  MSO365 licenses</t>
  </si>
  <si>
    <t>RFQ: Helidrive -  Hardware -  Laptop, Desktop</t>
  </si>
  <si>
    <t>RFQ: HPA -  Software -  MS office 365 licenses</t>
  </si>
  <si>
    <t>RFQ: HPA-  Hardware -  Desktop</t>
  </si>
  <si>
    <t>Nyasha Helidrive</t>
  </si>
  <si>
    <t>RFQ: Helidrive -  Hardware - Cartridges</t>
  </si>
  <si>
    <t>Aurora Energy</t>
  </si>
  <si>
    <t>Rumbidzai</t>
  </si>
  <si>
    <t>RFQ: Aurora Energy -  Software - Email Signatures</t>
  </si>
  <si>
    <t>Lloyd</t>
  </si>
  <si>
    <t>RFQ: Cake Freight Services -  Software and Hardware -  8GB RAM and MS installation</t>
  </si>
  <si>
    <t>RFQ: NMB Bank  -Hardware -  Toner cartridges 217A</t>
  </si>
  <si>
    <t>Portia Changau</t>
  </si>
  <si>
    <t>RFQ:  ARDA -  Hardware-  Access Points</t>
  </si>
  <si>
    <t>Terramera</t>
  </si>
  <si>
    <t>Terramera Accounts</t>
  </si>
  <si>
    <t>RFQ: Terramera - Software - MS Office 2019 and installation</t>
  </si>
  <si>
    <t>RFQ: Terramera -  Hardware - 2.5 inch SSD</t>
  </si>
  <si>
    <t>Allan Kasambarare</t>
  </si>
  <si>
    <t>RFQ: NSK -  Hardware -  HP Envy 13-1047wm display bezel and panel</t>
  </si>
  <si>
    <t>RFQ: NMB  Hardware -  Samsung Tablets</t>
  </si>
  <si>
    <t>pr@hpa.co.zw</t>
  </si>
  <si>
    <t>Request for Quotation for HP Spectre 65W power pack.</t>
  </si>
  <si>
    <t>Mr Silent Chitembuka</t>
  </si>
  <si>
    <t>RFQ: Walk In - Hardware -  512GB SSD, 2.5 inch SATA and 4GB RAM DDR4 for a laptop</t>
  </si>
  <si>
    <t>RFQ: NMB -  Hardware -  Brother printer cartridges</t>
  </si>
  <si>
    <t>RFQ: Italian Embassy-  Hardware-  HP 207A cartridges</t>
  </si>
  <si>
    <t>Punch Bowl Quality Products</t>
  </si>
  <si>
    <t>Spilile Mpepu</t>
  </si>
  <si>
    <t>RFQ: Punchbowl -  Hardware -  ALL IN ONE DESKTOP AND LAPTOP</t>
  </si>
  <si>
    <t>Tatenda</t>
  </si>
  <si>
    <t>RFQ: HPA-  Accessories - Hp Spectre x360 14eu0xxx laptop sleeve</t>
  </si>
  <si>
    <t>RFQ: Italian Embassy -  Hardware -  Pantum 2200 toners</t>
  </si>
  <si>
    <t>RFQ: Italian Embassy -  Hardware-  HP 207A cartridges</t>
  </si>
  <si>
    <t>Tarisai Kandengwa</t>
  </si>
  <si>
    <t>RFQ: Aurora Energy-  Software -  MS Office 2019</t>
  </si>
  <si>
    <t>Request for Invoice For Email Restoration</t>
  </si>
  <si>
    <t>RFQ: HPA -  Hardware -  HP Spectre x360 14 - ef0018na screen replacement</t>
  </si>
  <si>
    <t>Young Guzha</t>
  </si>
  <si>
    <t>RFQ: Sharon School -  Hardware-  Epson Shot Throw projector</t>
  </si>
  <si>
    <t>RFQ: NMB Bank -  Hardware -  Dell Vostro 16 5640 Corei7 Laptops</t>
  </si>
  <si>
    <t>RFQ: NMB Bank -  Hardware -  Lenovo Legion laptops</t>
  </si>
  <si>
    <t>3677</t>
  </si>
  <si>
    <t>Persistance Muunga</t>
  </si>
  <si>
    <t>RFQ: HPA -  Hardware -  2TB External HDDs</t>
  </si>
  <si>
    <t>00:12:08</t>
  </si>
  <si>
    <t>00:30:00</t>
  </si>
  <si>
    <t>3678</t>
  </si>
  <si>
    <t>Tatenda Chihota</t>
  </si>
  <si>
    <t>RFQ: HPA -  Software -  Karspesky antivirus</t>
  </si>
  <si>
    <t>00:39:32</t>
  </si>
  <si>
    <t>3679</t>
  </si>
  <si>
    <t>RFQ: HPA -  Hardware -  Desktop CPU</t>
  </si>
  <si>
    <t>00:04:26</t>
  </si>
  <si>
    <t>3680</t>
  </si>
  <si>
    <t>RFQ: NMB Bank -  Hardware -  98'' Smart TV</t>
  </si>
  <si>
    <t>00:01:14</t>
  </si>
  <si>
    <t>3681</t>
  </si>
  <si>
    <t>RFQ: NMB Bank -  Hardware -  HP Scanjet Pro 3600f1</t>
  </si>
  <si>
    <t>00:03:28</t>
  </si>
  <si>
    <t>3682</t>
  </si>
  <si>
    <t>RFQ: NMB Bank -  Hardware -  Cisco Router and switch</t>
  </si>
  <si>
    <t>00:01:21</t>
  </si>
  <si>
    <t>3683</t>
  </si>
  <si>
    <t>RFQ: NMB Bank - Hardware  - Cisco SFP Modules</t>
  </si>
  <si>
    <t>00:00:49</t>
  </si>
  <si>
    <t>3684</t>
  </si>
  <si>
    <t>RFQ: Gateway Primary School -  Hardware -  65” Interactive screens</t>
  </si>
  <si>
    <t>00:00:58</t>
  </si>
  <si>
    <t>3696</t>
  </si>
  <si>
    <t>RFQ: NSK-  Hardware -  203A printer cartridges</t>
  </si>
  <si>
    <t>05:11:04</t>
  </si>
  <si>
    <t>MS Office 2019 License Suite - 1 user</t>
  </si>
  <si>
    <t>TKT002</t>
  </si>
  <si>
    <t>HP Color Laser MFP 178nw Imaging Drum</t>
  </si>
  <si>
    <t>TKT003</t>
  </si>
  <si>
    <t>Gaming Mouse</t>
  </si>
  <si>
    <t>TKT004</t>
  </si>
  <si>
    <t>Ricoh MPC 2011 Cartridges</t>
  </si>
  <si>
    <t>TKT005</t>
  </si>
  <si>
    <t>Bindura University</t>
  </si>
  <si>
    <t>Projectors</t>
  </si>
  <si>
    <t>TKT006</t>
  </si>
  <si>
    <t>External &amp; internal hard drives SSDs</t>
  </si>
  <si>
    <t>TKT007</t>
  </si>
  <si>
    <t>Brand Dropdown Filter</t>
  </si>
  <si>
    <t>TKT008</t>
  </si>
  <si>
    <t>NMB Bank</t>
  </si>
  <si>
    <t>Networking</t>
  </si>
  <si>
    <t/>
  </si>
  <si>
    <t>TKT009</t>
  </si>
  <si>
    <t>NMB</t>
  </si>
  <si>
    <t>Msasa Branch Rewiring</t>
  </si>
  <si>
    <t>TKT010</t>
  </si>
  <si>
    <t>CHINHOYI UNIVERSITY</t>
  </si>
  <si>
    <t>Heavy-duty printer</t>
  </si>
  <si>
    <t>TKT011</t>
  </si>
  <si>
    <t>Console cables</t>
  </si>
  <si>
    <t>TKT012</t>
  </si>
  <si>
    <t>ITALIAN EMBASSY ZAMBIA</t>
  </si>
  <si>
    <t>Networking project</t>
  </si>
  <si>
    <t>TKT013</t>
  </si>
  <si>
    <t xml:space="preserve">Gateway Primary </t>
  </si>
  <si>
    <t>Canon Maxify printer Cartridges</t>
  </si>
  <si>
    <t>TKT014</t>
  </si>
  <si>
    <t>HP Cartridges</t>
  </si>
  <si>
    <t>TKT015</t>
  </si>
  <si>
    <t>Lloyd Vheremu</t>
  </si>
  <si>
    <t>Lenovo Front Bezels</t>
  </si>
  <si>
    <t>TKT016</t>
  </si>
  <si>
    <t>RIDA</t>
  </si>
  <si>
    <t>Corei5 Laptops &amp; Desktops</t>
  </si>
  <si>
    <t>TKT017</t>
  </si>
  <si>
    <t>Corei7 Desktops &amp; Flash Discs</t>
  </si>
  <si>
    <t>TKT018</t>
  </si>
  <si>
    <t>ARDA</t>
  </si>
  <si>
    <t>Laptops &amp; Mobile Phones</t>
  </si>
  <si>
    <t>HP Printer</t>
  </si>
  <si>
    <t>HP desktop</t>
  </si>
  <si>
    <t>TKT021</t>
  </si>
  <si>
    <t>HP Laerjet Printers</t>
  </si>
  <si>
    <t>Pedzi Mavedzenge</t>
  </si>
  <si>
    <t>TKT022</t>
  </si>
  <si>
    <t>2.5 inch 512SSD</t>
  </si>
  <si>
    <t>Mikro Tik Router</t>
  </si>
  <si>
    <t>TKT024</t>
  </si>
  <si>
    <t>USB to ethernet adapter</t>
  </si>
  <si>
    <t>TKT025</t>
  </si>
  <si>
    <t>HPE Proliant adapter</t>
  </si>
  <si>
    <t>TKT026</t>
  </si>
  <si>
    <t>Nambian Embassy</t>
  </si>
  <si>
    <t>HP 415 Cartridges</t>
  </si>
  <si>
    <t>TKT027</t>
  </si>
  <si>
    <t>USB to Ethernet Adapter</t>
  </si>
  <si>
    <t>TKT028</t>
  </si>
  <si>
    <t>Gateway Primary</t>
  </si>
  <si>
    <t>LED Screens</t>
  </si>
  <si>
    <t>TKT029</t>
  </si>
  <si>
    <t>Chinhoyi University</t>
  </si>
  <si>
    <t>HP Pro 4103FDN Printer</t>
  </si>
  <si>
    <t>TKT030</t>
  </si>
  <si>
    <t>HP Desktop &amp; Printer</t>
  </si>
  <si>
    <t>Additional CCTV Camera Installation</t>
  </si>
  <si>
    <t>TKT032</t>
  </si>
  <si>
    <t>Ivory medical</t>
  </si>
  <si>
    <t>203A Toner Cartridge</t>
  </si>
  <si>
    <t>Smart UPS</t>
  </si>
  <si>
    <t>TKT034</t>
  </si>
  <si>
    <t>Lenovo Legion laptop</t>
  </si>
  <si>
    <t>TKT035</t>
  </si>
  <si>
    <t>55-inch Samsung Smart TV</t>
  </si>
  <si>
    <t>Ricoh MP C2011 Waste Toner Bottle</t>
  </si>
  <si>
    <t xml:space="preserve">Closed </t>
  </si>
  <si>
    <t>HP 222A Toner Cartridges</t>
  </si>
  <si>
    <t>TKT038</t>
  </si>
  <si>
    <t>Steven Gwanzura</t>
  </si>
  <si>
    <t>Lenovo ThinkPad L15 Laptop</t>
  </si>
  <si>
    <t>TKT039</t>
  </si>
  <si>
    <t>HP Laserjet MFP 179fnw colour printer</t>
  </si>
  <si>
    <t>TKT040</t>
  </si>
  <si>
    <t>Forestry Commission</t>
  </si>
  <si>
    <t>MS Office 2019 Perpetual License - 100 users</t>
  </si>
  <si>
    <t>TKT041</t>
  </si>
  <si>
    <t>Veema Backup Solution</t>
  </si>
  <si>
    <t>TKT042</t>
  </si>
  <si>
    <t>TKT043</t>
  </si>
  <si>
    <t>Lenovo ThinkPad Laptops</t>
  </si>
  <si>
    <t>TKT044</t>
  </si>
  <si>
    <t>Windows 11 Pro &amp; SSD</t>
  </si>
  <si>
    <t>All-In-One Desktop</t>
  </si>
  <si>
    <t>TKT047</t>
  </si>
  <si>
    <t>Samsung Galaxy A9+ 128GB</t>
  </si>
  <si>
    <t>APC UPS 950VA</t>
  </si>
  <si>
    <t>TKT049</t>
  </si>
  <si>
    <t>Oraimo USB to USB-C Chargers</t>
  </si>
  <si>
    <t>TKT051</t>
  </si>
  <si>
    <t>18-Sheet Paper Shredder</t>
  </si>
  <si>
    <t>TKT052</t>
  </si>
  <si>
    <t>HP Laserjet Enterprise 612dn</t>
  </si>
  <si>
    <t>TKT053</t>
  </si>
  <si>
    <t>Samsung galaxy a9+ tablets - 4</t>
  </si>
  <si>
    <t>TKT054</t>
  </si>
  <si>
    <t xml:space="preserve">CHINHOYI UNIVERSITY </t>
  </si>
  <si>
    <t>Fanvil  x210 Binaural Noise Cancelling Headset</t>
  </si>
  <si>
    <t>TKT055</t>
  </si>
  <si>
    <t>Cisco Catalyst C9300 48P-A POE+</t>
  </si>
  <si>
    <t>Starlink Ethernet Adapter</t>
  </si>
  <si>
    <t>TKT059</t>
  </si>
  <si>
    <t>Holy See Embassy</t>
  </si>
  <si>
    <t>TKT060</t>
  </si>
  <si>
    <t>Samsung A05 Mobile Phones</t>
  </si>
  <si>
    <t>TKT061</t>
  </si>
  <si>
    <t>Wireless Mouse &amp; Headphones</t>
  </si>
  <si>
    <t>TKT062</t>
  </si>
  <si>
    <t>HPA</t>
  </si>
  <si>
    <t>Development server &amp; monitor</t>
  </si>
  <si>
    <t>TKT063</t>
  </si>
  <si>
    <t>Chinhoyi University of Technology</t>
  </si>
  <si>
    <t>Console cables and SSDs</t>
  </si>
  <si>
    <t>TKT064</t>
  </si>
  <si>
    <t>TKT065</t>
  </si>
  <si>
    <t>HP Printer Fuser Units</t>
  </si>
  <si>
    <t>TKT067</t>
  </si>
  <si>
    <t>ZEC</t>
  </si>
  <si>
    <t>Printer replacement parts</t>
  </si>
  <si>
    <t>TKT068</t>
  </si>
  <si>
    <t>Lenovo laptop</t>
  </si>
  <si>
    <t>TKT069</t>
  </si>
  <si>
    <t>PA System</t>
  </si>
  <si>
    <t>Open</t>
  </si>
  <si>
    <t>TKT070</t>
  </si>
  <si>
    <t>CBS Batteries</t>
  </si>
  <si>
    <t>11/17/2025</t>
  </si>
  <si>
    <t>TKT071</t>
  </si>
  <si>
    <t>11/19/2025</t>
  </si>
  <si>
    <t>11/21/2025</t>
  </si>
  <si>
    <t>TKT072</t>
  </si>
  <si>
    <t>PUNCHBOWL</t>
  </si>
  <si>
    <t>Laptop SSD</t>
  </si>
  <si>
    <t>TKT073</t>
  </si>
  <si>
    <t>Ricoh Aficio MP C4502 Cartridge</t>
  </si>
  <si>
    <t>TKT074</t>
  </si>
  <si>
    <t>APC 1500VA IC UPS</t>
  </si>
  <si>
    <t>TKT075</t>
  </si>
  <si>
    <t>RFID Cards</t>
  </si>
  <si>
    <t>TKT076</t>
  </si>
  <si>
    <t>Database cleaning</t>
  </si>
  <si>
    <t>TKT077</t>
  </si>
  <si>
    <t>HPE Proliant Server</t>
  </si>
  <si>
    <t>TKT078</t>
  </si>
  <si>
    <t>Aurora Enegry</t>
  </si>
  <si>
    <t>MS Office Licenses</t>
  </si>
  <si>
    <t>TKT079</t>
  </si>
  <si>
    <t>Oraimo chargers</t>
  </si>
  <si>
    <t>TKT080</t>
  </si>
  <si>
    <t>HP Laptops</t>
  </si>
  <si>
    <t>HP207A toner cartridges</t>
  </si>
  <si>
    <t>Printing devices</t>
  </si>
  <si>
    <t>Lenovo t440 replacement battery</t>
  </si>
  <si>
    <t>Laptop battery</t>
  </si>
  <si>
    <t>Peripheral device</t>
  </si>
  <si>
    <t>M.2 2242 SATA 256GB SSD</t>
  </si>
  <si>
    <t>Laptop power cable</t>
  </si>
  <si>
    <t>Power cable</t>
  </si>
  <si>
    <t>Windows 11 pro</t>
  </si>
  <si>
    <t>Operating System</t>
  </si>
  <si>
    <t>Sophos Central Intercept X</t>
  </si>
  <si>
    <t>Ticket name</t>
  </si>
  <si>
    <t>Associated Company</t>
  </si>
  <si>
    <t>Ticket status</t>
  </si>
  <si>
    <t>Ticket number</t>
  </si>
  <si>
    <t>Create date</t>
  </si>
  <si>
    <t>Ticket owner</t>
  </si>
  <si>
    <t>Verbatim 64GB  Harddrives</t>
  </si>
  <si>
    <t>TKT082</t>
  </si>
  <si>
    <t>Poly Black 3220 Headsets</t>
  </si>
  <si>
    <t>TKT083</t>
  </si>
  <si>
    <t>Boardroom HDMI Audio Setup</t>
  </si>
  <si>
    <t>TKT089</t>
  </si>
  <si>
    <t>Software Licenses</t>
  </si>
  <si>
    <t>Health Professions Authority Zimbabwe</t>
  </si>
  <si>
    <t>TKT088</t>
  </si>
  <si>
    <t>HP207A Toner Cartridges</t>
  </si>
  <si>
    <t>TKT087</t>
  </si>
  <si>
    <t>Video Conferencing Equipment</t>
  </si>
  <si>
    <t>TKT086</t>
  </si>
  <si>
    <t>UNV 4MP Dome Camera</t>
  </si>
  <si>
    <t>TKT085</t>
  </si>
  <si>
    <t>HP Desktop CPU Only- Corei5</t>
  </si>
  <si>
    <t>TKT084</t>
  </si>
  <si>
    <t>All-In-One Desktop,Corei5</t>
  </si>
  <si>
    <t>Heymans Kole Zim</t>
  </si>
  <si>
    <t>HP Omnibook laptops</t>
  </si>
  <si>
    <t>TKT090</t>
  </si>
  <si>
    <t>HP Professional Headsets</t>
  </si>
  <si>
    <t>TKT091</t>
  </si>
  <si>
    <t>No Quotation</t>
  </si>
  <si>
    <t>HWS 5</t>
  </si>
  <si>
    <t>Lenovo L15,Gen1, 8GB RAM,512SSD,WIN 11 PRO</t>
  </si>
  <si>
    <t xml:space="preserve">Laptop </t>
  </si>
  <si>
    <t>No Qoutation</t>
  </si>
  <si>
    <t>Kaspersky antivirus standard 5 users</t>
  </si>
  <si>
    <t>Health professions authority</t>
  </si>
  <si>
    <t>Microsoft office 365 family 5 users</t>
  </si>
  <si>
    <t>Electronic security</t>
  </si>
  <si>
    <t>Samsung professional display 65 inches</t>
  </si>
  <si>
    <t>Display screen</t>
  </si>
  <si>
    <t>Audio &amp; visual</t>
  </si>
  <si>
    <t>Yealink A40-031-1206676 All-In-One,4K,CTP25 Touch Panel Video Conferencing Solution.</t>
  </si>
  <si>
    <t>Meeting bar</t>
  </si>
  <si>
    <t>Yealink VCM36-W Wireless Microphone</t>
  </si>
  <si>
    <t>Microphone</t>
  </si>
  <si>
    <t>Dell WL3024 Headsets</t>
  </si>
  <si>
    <t>TKT092</t>
  </si>
  <si>
    <t>HP 4003DW Printers</t>
  </si>
  <si>
    <t>TKT093</t>
  </si>
  <si>
    <t>AUTOCAD Licenses</t>
  </si>
  <si>
    <t>TKT094</t>
  </si>
  <si>
    <t xml:space="preserve">AIO desktops &amp; laptops </t>
  </si>
  <si>
    <t>TKT095</t>
  </si>
  <si>
    <t>Close</t>
  </si>
  <si>
    <t>Pantum P2200 toner cartridge black</t>
  </si>
  <si>
    <t>HP Omnibook 14 inch laptop</t>
  </si>
  <si>
    <t>TKT096</t>
  </si>
  <si>
    <t xml:space="preserve">MacBook Pro M4 </t>
  </si>
  <si>
    <t>TKT097</t>
  </si>
  <si>
    <t>HP ProBook 460 G11 Ultra 7</t>
  </si>
  <si>
    <t>TKT098</t>
  </si>
  <si>
    <t xml:space="preserve">Pantum p2200 P210 Cartridge </t>
  </si>
  <si>
    <t>TKT099</t>
  </si>
  <si>
    <t>Ricoh MPC2011 Cartridges</t>
  </si>
  <si>
    <t>TKT100</t>
  </si>
  <si>
    <t>Samsung A9 8GB ram ,64GB tablets</t>
  </si>
  <si>
    <t>TKT101</t>
  </si>
  <si>
    <t>Health professions Authority</t>
  </si>
  <si>
    <t>Routers and access point</t>
  </si>
  <si>
    <t>Networking equipment</t>
  </si>
  <si>
    <t>Rodney Feraira</t>
  </si>
  <si>
    <t>HP207A Cartridges</t>
  </si>
  <si>
    <t>TKT102</t>
  </si>
  <si>
    <t>Lenovo laptops</t>
  </si>
  <si>
    <t>TKT103</t>
  </si>
  <si>
    <t>HP &amp; Lenovo Laptops Tender Bid</t>
  </si>
  <si>
    <t>TKT104</t>
  </si>
  <si>
    <t>Molex cables</t>
  </si>
  <si>
    <t>TKT105</t>
  </si>
  <si>
    <t>Punch bowl</t>
  </si>
  <si>
    <t>TKT106</t>
  </si>
  <si>
    <t>Poly enchore 520 &amp; DA85 USB-A Adapter</t>
  </si>
  <si>
    <t>TKT107</t>
  </si>
  <si>
    <t>Nano station loco M5, Ubiquiti nano station 5GHZ 16DBI AIR, TP-LINK AC1200 MU-MIMO GIGABIT</t>
  </si>
  <si>
    <t>HWS13</t>
  </si>
  <si>
    <t>MDPCZ</t>
  </si>
  <si>
    <t>Yealink A50 Conferencing System</t>
  </si>
  <si>
    <t>TKT108</t>
  </si>
  <si>
    <t>Windows upgarde</t>
  </si>
  <si>
    <t>TKT109</t>
  </si>
  <si>
    <t>Nwe user profiles</t>
  </si>
  <si>
    <t>TKT110</t>
  </si>
  <si>
    <t>Samsung A11 Tablets</t>
  </si>
  <si>
    <t>TKT111</t>
  </si>
  <si>
    <t>Italian embassy</t>
  </si>
  <si>
    <t>CCTV Surveillance storage upgrade - HDDs</t>
  </si>
  <si>
    <t>TKT112</t>
  </si>
  <si>
    <t>Sound system</t>
  </si>
  <si>
    <t>TKT113</t>
  </si>
  <si>
    <t xml:space="preserve">SS7 </t>
  </si>
  <si>
    <t>Ricoh MP C2011 - black, cyan, magenta, yellow</t>
  </si>
  <si>
    <t xml:space="preserve">Cisco Router </t>
  </si>
  <si>
    <t xml:space="preserve">Apple Pencils 2nd Gen, USB-C </t>
  </si>
  <si>
    <t>Tablet pencils</t>
  </si>
  <si>
    <t>HWS14</t>
  </si>
  <si>
    <t>HWS15</t>
  </si>
  <si>
    <t>TKT114</t>
  </si>
  <si>
    <t>HWS16</t>
  </si>
  <si>
    <t>4 port hub</t>
  </si>
  <si>
    <t>Multiport hub</t>
  </si>
  <si>
    <t>Samsung galaxy s11 ultra tablet</t>
  </si>
  <si>
    <t>TKT115</t>
  </si>
  <si>
    <t>Mhondoro ngezi RDC</t>
  </si>
  <si>
    <t>HP &amp; DELL Laptops</t>
  </si>
  <si>
    <t>TKT116</t>
  </si>
  <si>
    <t>HP Envy (omnibook) laptop</t>
  </si>
  <si>
    <t>TKT117</t>
  </si>
  <si>
    <t>HWS17</t>
  </si>
  <si>
    <t>4GB RAM DDR4</t>
  </si>
  <si>
    <t>Computer ram chip</t>
  </si>
  <si>
    <t>HWS18</t>
  </si>
  <si>
    <t>207A Black toner catridge</t>
  </si>
  <si>
    <t>HWS19</t>
  </si>
  <si>
    <t>ZkTeco F22 Fingerprint Reader</t>
  </si>
  <si>
    <t>Fingerprint reader</t>
  </si>
  <si>
    <t>Archdiocese</t>
  </si>
  <si>
    <t>ZkTeco F22 fingerprint reader</t>
  </si>
  <si>
    <t>TKT118</t>
  </si>
  <si>
    <t>Lead acid batteries</t>
  </si>
  <si>
    <t>TKT119</t>
  </si>
  <si>
    <t>HP laptops</t>
  </si>
  <si>
    <t>TKT120</t>
  </si>
  <si>
    <t>HP Laserjet MFP M776</t>
  </si>
  <si>
    <t>TKT121</t>
  </si>
  <si>
    <t>TKT122</t>
  </si>
  <si>
    <t>HWS20</t>
  </si>
  <si>
    <t>16GB DDR4 Ram</t>
  </si>
  <si>
    <t>Ram</t>
  </si>
  <si>
    <t>Windows Server 2019 Std Edition License</t>
  </si>
  <si>
    <t>Cisco switch and Fortinet Network Equipment</t>
  </si>
  <si>
    <t>TKT123</t>
  </si>
  <si>
    <t>TP Link Swich</t>
  </si>
  <si>
    <t>TKT124</t>
  </si>
  <si>
    <t>Pantum P2200 Pc210 Toners</t>
  </si>
  <si>
    <t>TKT125</t>
  </si>
  <si>
    <t>MS Office Business License</t>
  </si>
  <si>
    <t>TKT126</t>
  </si>
  <si>
    <t>MacBook M5</t>
  </si>
  <si>
    <t>TKT127</t>
  </si>
  <si>
    <t>IT Equipment</t>
  </si>
  <si>
    <t>TKT128</t>
  </si>
  <si>
    <t>12V 7AH Lead Batteries</t>
  </si>
  <si>
    <t>Lead batteries</t>
  </si>
  <si>
    <t>HWS23</t>
  </si>
  <si>
    <t>TP LINK TL-SG1210P Switch</t>
  </si>
  <si>
    <t>Network switch</t>
  </si>
  <si>
    <t>Samsung s10 FE tablet</t>
  </si>
  <si>
    <t>TKT129</t>
  </si>
  <si>
    <t>Lenovo replacement chargers</t>
  </si>
  <si>
    <t>TKT130</t>
  </si>
  <si>
    <t>HDMI Cable</t>
  </si>
  <si>
    <t>TKT131</t>
  </si>
  <si>
    <t>256GB M.2 NVMe SSD &amp; 4GB RAM</t>
  </si>
  <si>
    <t>TKT132</t>
  </si>
  <si>
    <t>ARGOX iX4 Thermal Printer</t>
  </si>
  <si>
    <t>TKT133</t>
  </si>
  <si>
    <t>Samsung A36 mobile phone</t>
  </si>
  <si>
    <t>TKT134</t>
  </si>
  <si>
    <t>HP 207A cartridge</t>
  </si>
  <si>
    <t>TKT135</t>
  </si>
  <si>
    <t>HWS24</t>
  </si>
  <si>
    <t>HP 207A Cartridge -black</t>
  </si>
  <si>
    <t>Apple usb-c magic mice</t>
  </si>
  <si>
    <t>TKT136</t>
  </si>
  <si>
    <t>HP Elitebook 1040 G10</t>
  </si>
  <si>
    <t>TKT137</t>
  </si>
  <si>
    <t>Samsung phones</t>
  </si>
  <si>
    <t>TKT138</t>
  </si>
  <si>
    <t>Laptop &amp; desktop</t>
  </si>
  <si>
    <t>TKT139</t>
  </si>
  <si>
    <t>IVORY MEDICAL</t>
  </si>
  <si>
    <t>TKT140</t>
  </si>
  <si>
    <t>TKT141</t>
  </si>
  <si>
    <t>Mhondoro Ngezi</t>
  </si>
  <si>
    <t>Dell Laptops</t>
  </si>
  <si>
    <t>TKT142</t>
  </si>
  <si>
    <t>HP 4003DN Printer</t>
  </si>
  <si>
    <t>TKT143</t>
  </si>
  <si>
    <t>AutoCAD License</t>
  </si>
  <si>
    <t>TKT144</t>
  </si>
  <si>
    <t>RBZ Bank</t>
  </si>
  <si>
    <t>TKT145</t>
  </si>
  <si>
    <t>HP Invictus laptops</t>
  </si>
  <si>
    <t>TKT146</t>
  </si>
  <si>
    <t>TKT147</t>
  </si>
  <si>
    <t>AICS</t>
  </si>
  <si>
    <t>HP Printer 4303dw</t>
  </si>
  <si>
    <t>TKT148</t>
  </si>
  <si>
    <t>MacBook Pro M5, 18 CORE CPU, 48GB,2TBSSD,Black MGED4ZE/A</t>
  </si>
  <si>
    <t>TKT149</t>
  </si>
  <si>
    <t>Samsung s26 &amp; A56 mobile phones</t>
  </si>
  <si>
    <t>TKT150</t>
  </si>
  <si>
    <t>Tablet Samsung A, 8gb RAM, 128gb storage, shatter glass.                      </t>
  </si>
  <si>
    <t>TKT151</t>
  </si>
  <si>
    <t>Toner cartridges 83A.    </t>
  </si>
  <si>
    <t>TKT152</t>
  </si>
  <si>
    <t>106A &amp; 26A Toner cartridges</t>
  </si>
  <si>
    <t>TKT153</t>
  </si>
  <si>
    <t>HP Mono Printer</t>
  </si>
  <si>
    <t>TKT154</t>
  </si>
  <si>
    <t>HP207A Toner cartridges</t>
  </si>
  <si>
    <t>TKT155</t>
  </si>
  <si>
    <t>Windows 11 Pro Licenses</t>
  </si>
  <si>
    <t>TKT158</t>
  </si>
  <si>
    <t>HP ProBool 460 g11 laptop</t>
  </si>
  <si>
    <t>TKT156</t>
  </si>
  <si>
    <t>Time &amp; attendance system relocation</t>
  </si>
  <si>
    <t>TKT157</t>
  </si>
  <si>
    <t>TKT160</t>
  </si>
  <si>
    <t>The Steel Building Company</t>
  </si>
  <si>
    <t>HP Laptop</t>
  </si>
  <si>
    <t>TKT159</t>
  </si>
  <si>
    <t>Sophos XGS 116 Xstream License</t>
  </si>
  <si>
    <t>SS10</t>
  </si>
  <si>
    <t>HWS25</t>
  </si>
  <si>
    <t>Samsung s24, 256gb</t>
  </si>
  <si>
    <t>Mobile Phone</t>
  </si>
  <si>
    <t>HWS26</t>
  </si>
  <si>
    <t xml:space="preserve">HP 250R-150U, 16GB, 512SSD Laptop </t>
  </si>
  <si>
    <t>3X3 One gang pvc backbox</t>
  </si>
  <si>
    <t>Backboxes</t>
  </si>
  <si>
    <t>Network modules - Rj45</t>
  </si>
  <si>
    <t>Network modues</t>
  </si>
  <si>
    <t>UTP Cat6 Indoor Cable - 500m Roll</t>
  </si>
  <si>
    <t>Cat6 Cable</t>
  </si>
  <si>
    <t>HWS28</t>
  </si>
  <si>
    <t>HWS29</t>
  </si>
  <si>
    <t>HWS30</t>
  </si>
  <si>
    <t>HWS31</t>
  </si>
  <si>
    <t>Samsung A37 Mobile Phone</t>
  </si>
  <si>
    <t>TKT163</t>
  </si>
  <si>
    <t>HP printers</t>
  </si>
  <si>
    <t>TKT164</t>
  </si>
  <si>
    <t>Ricoh Toner Cartridges</t>
  </si>
  <si>
    <t>TKT165</t>
  </si>
  <si>
    <t>Hp Spectre touchpad</t>
  </si>
  <si>
    <t>TKT166</t>
  </si>
  <si>
    <t xml:space="preserve">Yealink IPBX phones </t>
  </si>
  <si>
    <t>TKT167</t>
  </si>
  <si>
    <t>HP ProBook 450 G11 , Corei5 , 8GB ram, 512ssd, Windows 11 Pro Laptop</t>
  </si>
  <si>
    <t>8GB RAM</t>
  </si>
  <si>
    <t>256GB SATA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</si>
</sst>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&quot;US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rgb="FF727272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 Light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467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4A23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98E3"/>
        <bgColor indexed="64"/>
      </patternFill>
    </fill>
    <fill>
      <patternFill patternType="solid">
        <fgColor rgb="FF46E8E8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14" fontId="1" fillId="0" borderId="5" xfId="0" applyNumberFormat="1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3" fillId="0" borderId="0" xfId="0" applyFont="1"/>
    <xf numFmtId="164" fontId="4" fillId="0" borderId="5" xfId="0" applyNumberFormat="1" applyFont="1" applyBorder="1" applyAlignment="1">
      <alignment readingOrder="1"/>
    </xf>
    <xf numFmtId="164" fontId="4" fillId="0" borderId="11" xfId="0" applyNumberFormat="1" applyFont="1" applyBorder="1" applyAlignment="1">
      <alignment readingOrder="1"/>
    </xf>
    <xf numFmtId="164" fontId="0" fillId="0" borderId="0" xfId="0" applyNumberFormat="1"/>
    <xf numFmtId="0" fontId="0" fillId="2" borderId="0" xfId="0" applyFill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64" fontId="5" fillId="0" borderId="0" xfId="0" applyNumberFormat="1" applyFont="1"/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4" fillId="0" borderId="10" xfId="0" applyFont="1" applyBorder="1" applyAlignment="1">
      <alignment readingOrder="1"/>
    </xf>
    <xf numFmtId="0" fontId="4" fillId="0" borderId="11" xfId="0" applyFont="1" applyBorder="1" applyAlignment="1">
      <alignment readingOrder="1"/>
    </xf>
    <xf numFmtId="14" fontId="1" fillId="0" borderId="8" xfId="0" applyNumberFormat="1" applyFont="1" applyBorder="1" applyAlignment="1">
      <alignment readingOrder="1"/>
    </xf>
    <xf numFmtId="0" fontId="1" fillId="0" borderId="9" xfId="0" applyFont="1" applyBorder="1" applyAlignment="1">
      <alignment readingOrder="1"/>
    </xf>
    <xf numFmtId="164" fontId="4" fillId="0" borderId="12" xfId="0" applyNumberFormat="1" applyFont="1" applyBorder="1" applyAlignment="1">
      <alignment readingOrder="1"/>
    </xf>
    <xf numFmtId="14" fontId="0" fillId="0" borderId="0" xfId="0" applyNumberFormat="1"/>
    <xf numFmtId="164" fontId="4" fillId="0" borderId="0" xfId="0" applyNumberFormat="1" applyFont="1"/>
    <xf numFmtId="0" fontId="0" fillId="3" borderId="0" xfId="0" applyFill="1"/>
    <xf numFmtId="164" fontId="0" fillId="3" borderId="0" xfId="0" applyNumberFormat="1" applyFill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13" xfId="0" applyFont="1" applyBorder="1" applyAlignment="1">
      <alignment readingOrder="1"/>
    </xf>
    <xf numFmtId="0" fontId="1" fillId="0" borderId="0" xfId="0" applyFont="1" applyAlignment="1">
      <alignment readingOrder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/>
    <xf numFmtId="14" fontId="7" fillId="0" borderId="0" xfId="0" applyNumberFormat="1" applyFont="1" applyAlignment="1">
      <alignment horizontal="right"/>
    </xf>
    <xf numFmtId="14" fontId="1" fillId="0" borderId="14" xfId="0" applyNumberFormat="1" applyFont="1" applyBorder="1" applyAlignment="1">
      <alignment readingOrder="1"/>
    </xf>
    <xf numFmtId="164" fontId="7" fillId="0" borderId="0" xfId="0" applyNumberFormat="1" applyFont="1"/>
    <xf numFmtId="0" fontId="4" fillId="0" borderId="0" xfId="0" applyFont="1" applyAlignment="1">
      <alignment readingOrder="1"/>
    </xf>
    <xf numFmtId="0" fontId="8" fillId="0" borderId="0" xfId="0" applyFont="1"/>
    <xf numFmtId="165" fontId="0" fillId="0" borderId="0" xfId="0" applyNumberFormat="1"/>
    <xf numFmtId="0" fontId="0" fillId="4" borderId="0" xfId="0" applyFill="1"/>
    <xf numFmtId="0" fontId="0" fillId="5" borderId="0" xfId="0" applyFill="1"/>
    <xf numFmtId="0" fontId="1" fillId="6" borderId="0" xfId="0" applyFont="1" applyFill="1" applyAlignment="1">
      <alignment readingOrder="1"/>
    </xf>
    <xf numFmtId="0" fontId="0" fillId="7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4" fillId="0" borderId="0" xfId="0" applyFont="1"/>
    <xf numFmtId="0" fontId="0" fillId="13" borderId="0" xfId="0" applyFill="1"/>
    <xf numFmtId="0" fontId="0" fillId="14" borderId="0" xfId="0" applyFill="1"/>
    <xf numFmtId="0" fontId="1" fillId="9" borderId="0" xfId="0" applyFont="1" applyFill="1" applyAlignment="1">
      <alignment readingOrder="1"/>
    </xf>
    <xf numFmtId="0" fontId="1" fillId="5" borderId="0" xfId="0" applyFont="1" applyFill="1" applyAlignment="1">
      <alignment readingOrder="1"/>
    </xf>
    <xf numFmtId="0" fontId="1" fillId="15" borderId="0" xfId="0" applyFont="1" applyFill="1" applyAlignment="1">
      <alignment readingOrder="1"/>
    </xf>
    <xf numFmtId="0" fontId="0" fillId="15" borderId="0" xfId="0" applyFill="1"/>
    <xf numFmtId="0" fontId="0" fillId="16" borderId="0" xfId="0" applyFill="1"/>
    <xf numFmtId="0" fontId="1" fillId="17" borderId="0" xfId="0" applyFont="1" applyFill="1" applyAlignment="1">
      <alignment readingOrder="1"/>
    </xf>
    <xf numFmtId="0" fontId="0" fillId="17" borderId="0" xfId="0" applyFill="1"/>
    <xf numFmtId="0" fontId="0" fillId="18" borderId="0" xfId="0" applyFill="1"/>
    <xf numFmtId="0" fontId="0" fillId="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164" fontId="3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1" fontId="1" fillId="0" borderId="0" xfId="0" applyNumberFormat="1" applyFont="1" applyAlignment="1">
      <alignment readingOrder="1"/>
    </xf>
    <xf numFmtId="1" fontId="7" fillId="0" borderId="0" xfId="0" applyNumberFormat="1" applyFont="1"/>
    <xf numFmtId="1" fontId="4" fillId="0" borderId="0" xfId="0" applyNumberFormat="1" applyFont="1" applyAlignment="1">
      <alignment readingOrder="1"/>
    </xf>
    <xf numFmtId="14" fontId="1" fillId="0" borderId="0" xfId="0" applyNumberFormat="1" applyFont="1" applyAlignment="1">
      <alignment readingOrder="1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22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46" fontId="0" fillId="0" borderId="0" xfId="0" applyNumberFormat="1" applyAlignment="1">
      <alignment horizontal="left"/>
    </xf>
    <xf numFmtId="0" fontId="0" fillId="0" borderId="0" xfId="0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wrapText="1"/>
    </xf>
    <xf numFmtId="14" fontId="3" fillId="0" borderId="0" xfId="0" applyNumberFormat="1" applyFont="1"/>
    <xf numFmtId="46" fontId="0" fillId="0" borderId="0" xfId="0" applyNumberFormat="1"/>
    <xf numFmtId="21" fontId="0" fillId="0" borderId="0" xfId="0" applyNumberFormat="1"/>
    <xf numFmtId="14" fontId="7" fillId="0" borderId="0" xfId="0" applyNumberFormat="1" applyFont="1"/>
    <xf numFmtId="14" fontId="4" fillId="0" borderId="0" xfId="0" applyNumberFormat="1" applyFont="1"/>
    <xf numFmtId="0" fontId="4" fillId="5" borderId="0" xfId="0" applyFont="1" applyFill="1"/>
    <xf numFmtId="0" fontId="2" fillId="0" borderId="0" xfId="0" applyFont="1" applyAlignment="1">
      <alignment readingOrder="1"/>
    </xf>
    <xf numFmtId="0" fontId="4" fillId="0" borderId="0" xfId="0" applyFont="1" applyFill="1" applyBorder="1" applyAlignment="1"/>
    <xf numFmtId="22" fontId="4" fillId="0" borderId="0" xfId="0" applyNumberFormat="1" applyFont="1" applyFill="1" applyBorder="1" applyAlignment="1"/>
    <xf numFmtId="14" fontId="4" fillId="0" borderId="0" xfId="0" applyNumberFormat="1" applyFont="1" applyFill="1" applyBorder="1" applyAlignment="1"/>
    <xf numFmtId="0" fontId="12" fillId="0" borderId="0" xfId="0" applyFont="1"/>
    <xf numFmtId="0" fontId="13" fillId="0" borderId="0" xfId="0" applyFont="1"/>
    <xf numFmtId="0" fontId="7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EC210"/>
      <color rgb="FFF29696"/>
      <color rgb="FFB37CEB"/>
      <color rgb="FFC4A23D"/>
      <color rgb="FF46E8E8"/>
      <color rgb="FFD698E3"/>
      <color rgb="FFC43D3D"/>
      <color rgb="FFC467D6"/>
      <color rgb="FF8C6E4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H46"/>
  <sheetViews>
    <sheetView topLeftCell="A31" workbookViewId="0">
      <selection activeCell="B30" sqref="B30"/>
    </sheetView>
  </sheetViews>
  <sheetFormatPr defaultColWidth="8.88671875" defaultRowHeight="14.4" x14ac:dyDescent="0.3"/>
  <cols>
    <col min="1" max="1" width="100.88671875" bestFit="1" customWidth="1"/>
    <col min="2" max="3" width="22.88671875" customWidth="1"/>
    <col min="4" max="4" width="12.109375" bestFit="1" customWidth="1"/>
    <col min="5" max="5" width="12.44140625" bestFit="1" customWidth="1"/>
    <col min="6" max="6" width="32.109375" customWidth="1"/>
    <col min="7" max="7" width="18.88671875" customWidth="1"/>
    <col min="8" max="8" width="18.109375" customWidth="1"/>
  </cols>
  <sheetData>
    <row r="1" spans="1:8" s="8" customForma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</row>
    <row r="2" spans="1:8" x14ac:dyDescent="0.3">
      <c r="A2" s="1" t="s">
        <v>8</v>
      </c>
      <c r="B2" t="s">
        <v>9</v>
      </c>
      <c r="C2" s="2" t="s">
        <v>10</v>
      </c>
      <c r="D2" s="2">
        <v>1</v>
      </c>
      <c r="E2" s="3">
        <v>44579</v>
      </c>
      <c r="F2" s="4" t="s">
        <v>11</v>
      </c>
      <c r="G2" s="9">
        <v>1200</v>
      </c>
      <c r="H2" s="11">
        <f>D2*G2</f>
        <v>1200</v>
      </c>
    </row>
    <row r="3" spans="1:8" x14ac:dyDescent="0.3">
      <c r="A3" s="1" t="s">
        <v>12</v>
      </c>
      <c r="B3" t="s">
        <v>9</v>
      </c>
      <c r="C3" s="2" t="s">
        <v>13</v>
      </c>
      <c r="D3" s="2">
        <v>2</v>
      </c>
      <c r="E3" s="3">
        <v>44651</v>
      </c>
      <c r="F3" s="4" t="s">
        <v>14</v>
      </c>
      <c r="G3" s="10">
        <v>1117</v>
      </c>
      <c r="H3" s="11">
        <f t="shared" ref="H3:H38" si="0">D3*G3</f>
        <v>2234</v>
      </c>
    </row>
    <row r="4" spans="1:8" x14ac:dyDescent="0.3">
      <c r="A4" s="1" t="s">
        <v>8</v>
      </c>
      <c r="B4" t="s">
        <v>9</v>
      </c>
      <c r="C4" s="2" t="s">
        <v>10</v>
      </c>
      <c r="D4" s="2">
        <v>1</v>
      </c>
      <c r="E4" s="3">
        <v>44651</v>
      </c>
      <c r="F4" s="4" t="s">
        <v>14</v>
      </c>
      <c r="G4" s="10">
        <v>981</v>
      </c>
      <c r="H4" s="11">
        <f t="shared" si="0"/>
        <v>981</v>
      </c>
    </row>
    <row r="5" spans="1:8" x14ac:dyDescent="0.3">
      <c r="A5" s="1" t="s">
        <v>15</v>
      </c>
      <c r="B5" t="s">
        <v>16</v>
      </c>
      <c r="C5" s="2" t="s">
        <v>17</v>
      </c>
      <c r="D5" s="2">
        <v>1</v>
      </c>
      <c r="E5" s="3">
        <v>44651</v>
      </c>
      <c r="F5" s="4" t="s">
        <v>14</v>
      </c>
      <c r="G5" s="10">
        <v>6122.07</v>
      </c>
      <c r="H5" s="11">
        <f t="shared" si="0"/>
        <v>6122.07</v>
      </c>
    </row>
    <row r="6" spans="1:8" x14ac:dyDescent="0.3">
      <c r="A6" s="1" t="s">
        <v>18</v>
      </c>
      <c r="B6" t="s">
        <v>9</v>
      </c>
      <c r="C6" s="2" t="s">
        <v>13</v>
      </c>
      <c r="D6" s="2">
        <v>1</v>
      </c>
      <c r="E6" s="3">
        <v>44670</v>
      </c>
      <c r="F6" s="4" t="s">
        <v>19</v>
      </c>
      <c r="G6" s="10">
        <v>634</v>
      </c>
      <c r="H6" s="11">
        <f t="shared" si="0"/>
        <v>634</v>
      </c>
    </row>
    <row r="7" spans="1:8" x14ac:dyDescent="0.3">
      <c r="A7" s="1" t="s">
        <v>20</v>
      </c>
      <c r="B7" t="s">
        <v>9</v>
      </c>
      <c r="C7" s="2" t="s">
        <v>13</v>
      </c>
      <c r="D7" s="2">
        <v>1</v>
      </c>
      <c r="E7" s="3">
        <v>44684</v>
      </c>
      <c r="F7" s="4" t="s">
        <v>21</v>
      </c>
      <c r="G7" s="10">
        <v>475</v>
      </c>
      <c r="H7" s="11">
        <f t="shared" si="0"/>
        <v>475</v>
      </c>
    </row>
    <row r="8" spans="1:8" x14ac:dyDescent="0.3">
      <c r="A8" s="1" t="s">
        <v>22</v>
      </c>
      <c r="B8" t="s">
        <v>16</v>
      </c>
      <c r="C8" s="2" t="s">
        <v>17</v>
      </c>
      <c r="D8" s="2">
        <v>1</v>
      </c>
      <c r="E8" s="3">
        <v>44753</v>
      </c>
      <c r="F8" s="4" t="s">
        <v>23</v>
      </c>
      <c r="G8" s="10">
        <v>603.46</v>
      </c>
      <c r="H8" s="11">
        <f t="shared" si="0"/>
        <v>603.46</v>
      </c>
    </row>
    <row r="9" spans="1:8" x14ac:dyDescent="0.3">
      <c r="A9" s="1" t="s">
        <v>24</v>
      </c>
      <c r="B9" t="s">
        <v>9</v>
      </c>
      <c r="C9" s="2" t="s">
        <v>13</v>
      </c>
      <c r="D9" s="2">
        <v>1</v>
      </c>
      <c r="E9" s="3">
        <v>44785</v>
      </c>
      <c r="F9" s="4" t="s">
        <v>25</v>
      </c>
      <c r="G9" s="10">
        <v>1080</v>
      </c>
      <c r="H9" s="11">
        <f t="shared" si="0"/>
        <v>1080</v>
      </c>
    </row>
    <row r="10" spans="1:8" x14ac:dyDescent="0.3">
      <c r="A10" s="1" t="s">
        <v>24</v>
      </c>
      <c r="B10" t="s">
        <v>9</v>
      </c>
      <c r="C10" s="2" t="s">
        <v>13</v>
      </c>
      <c r="D10" s="2">
        <v>1</v>
      </c>
      <c r="E10" s="3">
        <v>44797</v>
      </c>
      <c r="F10" s="4" t="s">
        <v>25</v>
      </c>
      <c r="G10" s="10">
        <v>980</v>
      </c>
      <c r="H10" s="11">
        <f t="shared" si="0"/>
        <v>980</v>
      </c>
    </row>
    <row r="11" spans="1:8" x14ac:dyDescent="0.3">
      <c r="A11" s="1" t="s">
        <v>8</v>
      </c>
      <c r="B11" t="s">
        <v>9</v>
      </c>
      <c r="C11" s="2" t="s">
        <v>10</v>
      </c>
      <c r="D11" s="2">
        <v>1</v>
      </c>
      <c r="E11" s="3">
        <v>44804</v>
      </c>
      <c r="F11" s="4" t="s">
        <v>23</v>
      </c>
      <c r="G11" s="10">
        <v>981</v>
      </c>
      <c r="H11" s="11">
        <f t="shared" si="0"/>
        <v>981</v>
      </c>
    </row>
    <row r="12" spans="1:8" x14ac:dyDescent="0.3">
      <c r="A12" s="1" t="s">
        <v>26</v>
      </c>
      <c r="B12" t="s">
        <v>16</v>
      </c>
      <c r="C12" s="2" t="s">
        <v>17</v>
      </c>
      <c r="D12" s="2">
        <v>1</v>
      </c>
      <c r="E12" s="3">
        <v>44816</v>
      </c>
      <c r="F12" s="4" t="s">
        <v>25</v>
      </c>
      <c r="G12" s="10">
        <v>185</v>
      </c>
      <c r="H12" s="11">
        <f t="shared" si="0"/>
        <v>185</v>
      </c>
    </row>
    <row r="13" spans="1:8" x14ac:dyDescent="0.3">
      <c r="A13" s="1" t="s">
        <v>27</v>
      </c>
      <c r="B13" t="s">
        <v>9</v>
      </c>
      <c r="C13" s="2" t="s">
        <v>28</v>
      </c>
      <c r="D13" s="2">
        <v>1</v>
      </c>
      <c r="E13" s="3">
        <v>44848</v>
      </c>
      <c r="F13" s="4" t="s">
        <v>29</v>
      </c>
      <c r="G13" s="10">
        <v>13524</v>
      </c>
      <c r="H13" s="11">
        <f t="shared" si="0"/>
        <v>13524</v>
      </c>
    </row>
    <row r="14" spans="1:8" x14ac:dyDescent="0.3">
      <c r="A14" s="1" t="s">
        <v>24</v>
      </c>
      <c r="B14" t="s">
        <v>9</v>
      </c>
      <c r="C14" s="2" t="s">
        <v>13</v>
      </c>
      <c r="D14" s="2">
        <v>16</v>
      </c>
      <c r="E14" s="3">
        <v>44853</v>
      </c>
      <c r="F14" s="4" t="s">
        <v>30</v>
      </c>
      <c r="G14" s="10">
        <v>795</v>
      </c>
      <c r="H14" s="11">
        <f t="shared" si="0"/>
        <v>12720</v>
      </c>
    </row>
    <row r="15" spans="1:8" x14ac:dyDescent="0.3">
      <c r="A15" s="1" t="s">
        <v>24</v>
      </c>
      <c r="B15" t="s">
        <v>9</v>
      </c>
      <c r="C15" s="2" t="s">
        <v>13</v>
      </c>
      <c r="D15" s="2">
        <v>3</v>
      </c>
      <c r="E15" s="3">
        <v>44866</v>
      </c>
      <c r="F15" s="4" t="s">
        <v>23</v>
      </c>
      <c r="G15" s="10">
        <v>980</v>
      </c>
      <c r="H15" s="11">
        <f t="shared" si="0"/>
        <v>2940</v>
      </c>
    </row>
    <row r="16" spans="1:8" x14ac:dyDescent="0.3">
      <c r="A16" s="1" t="s">
        <v>31</v>
      </c>
      <c r="B16" t="s">
        <v>9</v>
      </c>
      <c r="C16" s="2" t="s">
        <v>10</v>
      </c>
      <c r="D16" s="2">
        <v>1</v>
      </c>
      <c r="E16" s="3">
        <v>44974</v>
      </c>
      <c r="F16" s="4" t="s">
        <v>32</v>
      </c>
      <c r="G16" s="10">
        <v>718</v>
      </c>
      <c r="H16" s="11">
        <f t="shared" si="0"/>
        <v>718</v>
      </c>
    </row>
    <row r="17" spans="1:8" x14ac:dyDescent="0.3">
      <c r="A17" s="1" t="s">
        <v>33</v>
      </c>
      <c r="B17" t="s">
        <v>34</v>
      </c>
      <c r="C17" s="2" t="s">
        <v>35</v>
      </c>
      <c r="D17" s="2">
        <v>2</v>
      </c>
      <c r="E17" s="3">
        <v>44985</v>
      </c>
      <c r="F17" s="4" t="s">
        <v>23</v>
      </c>
      <c r="G17" s="10">
        <v>1500</v>
      </c>
      <c r="H17" s="11">
        <f t="shared" si="0"/>
        <v>3000</v>
      </c>
    </row>
    <row r="18" spans="1:8" x14ac:dyDescent="0.3">
      <c r="A18" s="1" t="s">
        <v>36</v>
      </c>
      <c r="B18" t="s">
        <v>9</v>
      </c>
      <c r="C18" s="2" t="s">
        <v>10</v>
      </c>
      <c r="D18" s="2">
        <v>2</v>
      </c>
      <c r="E18" s="3">
        <v>44986</v>
      </c>
      <c r="F18" s="4" t="s">
        <v>23</v>
      </c>
      <c r="G18" s="10">
        <v>906</v>
      </c>
      <c r="H18" s="11">
        <f t="shared" si="0"/>
        <v>1812</v>
      </c>
    </row>
    <row r="19" spans="1:8" x14ac:dyDescent="0.3">
      <c r="A19" s="1" t="s">
        <v>37</v>
      </c>
      <c r="B19" t="s">
        <v>38</v>
      </c>
      <c r="C19" s="2" t="s">
        <v>39</v>
      </c>
      <c r="D19" s="2">
        <v>2</v>
      </c>
      <c r="E19" s="3">
        <v>44991</v>
      </c>
      <c r="F19" s="4" t="s">
        <v>23</v>
      </c>
      <c r="G19" s="10">
        <v>538</v>
      </c>
      <c r="H19" s="11">
        <f t="shared" si="0"/>
        <v>1076</v>
      </c>
    </row>
    <row r="20" spans="1:8" x14ac:dyDescent="0.3">
      <c r="A20" s="1" t="s">
        <v>40</v>
      </c>
      <c r="B20" t="s">
        <v>9</v>
      </c>
      <c r="C20" s="2" t="s">
        <v>28</v>
      </c>
      <c r="D20" s="2">
        <v>1</v>
      </c>
      <c r="E20" s="3">
        <v>45005</v>
      </c>
      <c r="F20" s="4" t="s">
        <v>23</v>
      </c>
      <c r="G20" s="10">
        <v>1890</v>
      </c>
      <c r="H20" s="11">
        <f>D20*G20</f>
        <v>1890</v>
      </c>
    </row>
    <row r="21" spans="1:8" x14ac:dyDescent="0.3">
      <c r="A21" s="17" t="s">
        <v>40</v>
      </c>
      <c r="B21" t="s">
        <v>9</v>
      </c>
      <c r="C21" s="18" t="s">
        <v>28</v>
      </c>
      <c r="D21" s="18">
        <v>1</v>
      </c>
      <c r="E21" s="21">
        <v>45005</v>
      </c>
      <c r="F21" s="22" t="s">
        <v>41</v>
      </c>
      <c r="G21" s="23">
        <v>1813</v>
      </c>
      <c r="H21" s="11">
        <f t="shared" si="0"/>
        <v>1813</v>
      </c>
    </row>
    <row r="22" spans="1:8" x14ac:dyDescent="0.3">
      <c r="A22" t="s">
        <v>42</v>
      </c>
      <c r="B22" t="s">
        <v>43</v>
      </c>
      <c r="C22" t="s">
        <v>44</v>
      </c>
      <c r="D22">
        <v>24</v>
      </c>
      <c r="E22" s="24">
        <v>45091</v>
      </c>
      <c r="F22" t="s">
        <v>25</v>
      </c>
      <c r="G22" s="25">
        <v>140.4</v>
      </c>
      <c r="H22" s="11">
        <f t="shared" si="0"/>
        <v>3369.6000000000004</v>
      </c>
    </row>
    <row r="23" spans="1:8" x14ac:dyDescent="0.3">
      <c r="A23" t="s">
        <v>45</v>
      </c>
      <c r="B23" t="s">
        <v>43</v>
      </c>
      <c r="C23" t="s">
        <v>46</v>
      </c>
      <c r="D23">
        <v>2</v>
      </c>
      <c r="E23" s="24">
        <v>45091</v>
      </c>
      <c r="F23" t="s">
        <v>25</v>
      </c>
      <c r="G23" s="25">
        <v>608.4</v>
      </c>
      <c r="H23" s="11">
        <f t="shared" si="0"/>
        <v>1216.8</v>
      </c>
    </row>
    <row r="24" spans="1:8" x14ac:dyDescent="0.3">
      <c r="A24" t="s">
        <v>47</v>
      </c>
      <c r="B24" t="s">
        <v>9</v>
      </c>
      <c r="C24" t="s">
        <v>10</v>
      </c>
      <c r="D24">
        <v>1</v>
      </c>
      <c r="E24" s="24">
        <v>45076</v>
      </c>
      <c r="F24" t="s">
        <v>11</v>
      </c>
      <c r="G24" s="25">
        <v>965</v>
      </c>
      <c r="H24" s="11">
        <f t="shared" si="0"/>
        <v>965</v>
      </c>
    </row>
    <row r="25" spans="1:8" x14ac:dyDescent="0.3">
      <c r="A25" t="s">
        <v>48</v>
      </c>
      <c r="B25" t="s">
        <v>16</v>
      </c>
      <c r="C25" t="s">
        <v>17</v>
      </c>
      <c r="D25">
        <v>1</v>
      </c>
      <c r="E25" s="24">
        <v>45103</v>
      </c>
      <c r="F25" t="s">
        <v>49</v>
      </c>
      <c r="G25" s="25">
        <v>240</v>
      </c>
      <c r="H25" s="11">
        <f t="shared" si="0"/>
        <v>240</v>
      </c>
    </row>
    <row r="26" spans="1:8" x14ac:dyDescent="0.3">
      <c r="A26" t="s">
        <v>50</v>
      </c>
      <c r="B26" t="s">
        <v>38</v>
      </c>
      <c r="C26" t="s">
        <v>51</v>
      </c>
      <c r="D26">
        <v>3</v>
      </c>
      <c r="E26" s="24">
        <v>45103</v>
      </c>
      <c r="F26" t="s">
        <v>49</v>
      </c>
      <c r="G26" s="25">
        <v>325</v>
      </c>
      <c r="H26" s="11">
        <f t="shared" si="0"/>
        <v>975</v>
      </c>
    </row>
    <row r="27" spans="1:8" x14ac:dyDescent="0.3">
      <c r="A27" t="s">
        <v>52</v>
      </c>
      <c r="B27" t="s">
        <v>34</v>
      </c>
      <c r="C27" t="s">
        <v>52</v>
      </c>
      <c r="D27">
        <v>1</v>
      </c>
      <c r="E27" s="24">
        <v>44949</v>
      </c>
      <c r="F27" t="s">
        <v>11</v>
      </c>
      <c r="G27" s="25">
        <v>258.26</v>
      </c>
      <c r="H27" s="11">
        <f t="shared" si="0"/>
        <v>258.26</v>
      </c>
    </row>
    <row r="28" spans="1:8" x14ac:dyDescent="0.3">
      <c r="A28" s="19" t="s">
        <v>53</v>
      </c>
      <c r="B28" t="s">
        <v>43</v>
      </c>
      <c r="C28" s="20" t="s">
        <v>54</v>
      </c>
      <c r="D28" s="20">
        <v>2</v>
      </c>
      <c r="E28" s="24">
        <v>45020</v>
      </c>
      <c r="F28" t="s">
        <v>11</v>
      </c>
      <c r="G28" s="25">
        <v>67</v>
      </c>
      <c r="H28" s="11">
        <f t="shared" si="0"/>
        <v>134</v>
      </c>
    </row>
    <row r="29" spans="1:8" x14ac:dyDescent="0.3">
      <c r="A29" s="19" t="s">
        <v>55</v>
      </c>
      <c r="B29" t="s">
        <v>43</v>
      </c>
      <c r="C29" s="20" t="s">
        <v>56</v>
      </c>
      <c r="D29" s="20">
        <v>1</v>
      </c>
      <c r="E29" s="24">
        <v>45020</v>
      </c>
      <c r="F29" t="s">
        <v>11</v>
      </c>
      <c r="G29" s="25">
        <v>143</v>
      </c>
      <c r="H29" s="11">
        <f t="shared" si="0"/>
        <v>143</v>
      </c>
    </row>
    <row r="30" spans="1:8" x14ac:dyDescent="0.3">
      <c r="A30" s="19" t="s">
        <v>57</v>
      </c>
      <c r="B30" t="s">
        <v>34</v>
      </c>
      <c r="C30" s="20" t="s">
        <v>58</v>
      </c>
      <c r="D30" s="20">
        <v>4</v>
      </c>
      <c r="E30" s="24">
        <v>45020</v>
      </c>
      <c r="F30" t="s">
        <v>11</v>
      </c>
      <c r="G30" s="25">
        <v>37</v>
      </c>
      <c r="H30" s="11">
        <f t="shared" si="0"/>
        <v>148</v>
      </c>
    </row>
    <row r="31" spans="1:8" x14ac:dyDescent="0.3">
      <c r="A31" s="19" t="s">
        <v>59</v>
      </c>
      <c r="B31" t="s">
        <v>38</v>
      </c>
      <c r="C31" t="s">
        <v>60</v>
      </c>
      <c r="D31">
        <v>1</v>
      </c>
      <c r="E31" s="24">
        <v>45078</v>
      </c>
      <c r="F31" t="s">
        <v>11</v>
      </c>
      <c r="G31" s="25">
        <v>120</v>
      </c>
      <c r="H31" s="11">
        <f t="shared" si="0"/>
        <v>120</v>
      </c>
    </row>
    <row r="32" spans="1:8" x14ac:dyDescent="0.3">
      <c r="A32" t="s">
        <v>61</v>
      </c>
      <c r="B32" t="s">
        <v>9</v>
      </c>
      <c r="C32" t="s">
        <v>10</v>
      </c>
      <c r="D32">
        <v>1</v>
      </c>
      <c r="E32" s="24">
        <v>45159</v>
      </c>
      <c r="F32" t="s">
        <v>62</v>
      </c>
      <c r="G32" s="25">
        <v>929</v>
      </c>
      <c r="H32" s="11">
        <f t="shared" si="0"/>
        <v>929</v>
      </c>
    </row>
    <row r="33" spans="1:8" x14ac:dyDescent="0.3">
      <c r="A33" t="s">
        <v>63</v>
      </c>
      <c r="B33" t="s">
        <v>9</v>
      </c>
      <c r="C33" t="s">
        <v>10</v>
      </c>
      <c r="D33">
        <v>1</v>
      </c>
      <c r="E33" s="24">
        <v>45173</v>
      </c>
      <c r="F33" t="s">
        <v>23</v>
      </c>
      <c r="G33" s="25">
        <v>869</v>
      </c>
      <c r="H33" s="11">
        <f t="shared" si="0"/>
        <v>869</v>
      </c>
    </row>
    <row r="34" spans="1:8" x14ac:dyDescent="0.3">
      <c r="A34" t="s">
        <v>64</v>
      </c>
      <c r="B34" t="s">
        <v>9</v>
      </c>
      <c r="C34" t="s">
        <v>10</v>
      </c>
      <c r="D34">
        <v>1</v>
      </c>
      <c r="E34" s="24">
        <v>45209</v>
      </c>
      <c r="F34" t="s">
        <v>11</v>
      </c>
      <c r="G34" s="25">
        <v>950</v>
      </c>
      <c r="H34" s="11">
        <f t="shared" si="0"/>
        <v>950</v>
      </c>
    </row>
    <row r="35" spans="1:8" x14ac:dyDescent="0.3">
      <c r="A35" t="s">
        <v>65</v>
      </c>
      <c r="B35" t="s">
        <v>9</v>
      </c>
      <c r="C35" t="s">
        <v>10</v>
      </c>
      <c r="D35">
        <v>1</v>
      </c>
      <c r="E35" s="24">
        <v>45216</v>
      </c>
      <c r="F35" t="s">
        <v>66</v>
      </c>
      <c r="G35" s="25">
        <v>423</v>
      </c>
      <c r="H35" s="11">
        <f t="shared" si="0"/>
        <v>423</v>
      </c>
    </row>
    <row r="36" spans="1:8" x14ac:dyDescent="0.3">
      <c r="A36" t="s">
        <v>67</v>
      </c>
      <c r="B36" t="s">
        <v>16</v>
      </c>
      <c r="C36" t="s">
        <v>68</v>
      </c>
      <c r="D36">
        <v>1</v>
      </c>
      <c r="E36" s="24">
        <v>45240</v>
      </c>
      <c r="F36" t="s">
        <v>69</v>
      </c>
      <c r="G36" s="11">
        <v>9100</v>
      </c>
      <c r="H36" s="11">
        <f t="shared" si="0"/>
        <v>9100</v>
      </c>
    </row>
    <row r="37" spans="1:8" x14ac:dyDescent="0.3">
      <c r="A37" t="s">
        <v>70</v>
      </c>
      <c r="B37" t="s">
        <v>16</v>
      </c>
      <c r="C37" t="s">
        <v>71</v>
      </c>
      <c r="D37">
        <v>2</v>
      </c>
      <c r="E37" s="24">
        <v>45240</v>
      </c>
      <c r="F37" t="s">
        <v>69</v>
      </c>
      <c r="G37" s="11">
        <v>450</v>
      </c>
      <c r="H37" s="11">
        <f t="shared" si="0"/>
        <v>900</v>
      </c>
    </row>
    <row r="38" spans="1:8" x14ac:dyDescent="0.3">
      <c r="A38" t="s">
        <v>72</v>
      </c>
      <c r="B38" t="s">
        <v>34</v>
      </c>
      <c r="C38" t="s">
        <v>73</v>
      </c>
      <c r="D38">
        <v>1</v>
      </c>
      <c r="E38" s="24">
        <v>45272</v>
      </c>
      <c r="F38" t="s">
        <v>74</v>
      </c>
      <c r="G38" s="11">
        <v>345</v>
      </c>
      <c r="H38" s="11">
        <f t="shared" si="0"/>
        <v>345</v>
      </c>
    </row>
    <row r="39" spans="1:8" x14ac:dyDescent="0.3">
      <c r="G39" s="11"/>
      <c r="H39" s="11"/>
    </row>
    <row r="40" spans="1:8" x14ac:dyDescent="0.3">
      <c r="G40" s="11"/>
      <c r="H40" s="65">
        <f>SUM(H2:H38)</f>
        <v>76054.19</v>
      </c>
    </row>
    <row r="41" spans="1:8" x14ac:dyDescent="0.3">
      <c r="G41" s="11"/>
      <c r="H41" s="11"/>
    </row>
    <row r="42" spans="1:8" x14ac:dyDescent="0.3">
      <c r="G42" s="11"/>
      <c r="H42" s="11"/>
    </row>
    <row r="43" spans="1:8" x14ac:dyDescent="0.3">
      <c r="G43" s="11"/>
      <c r="H43" s="11"/>
    </row>
    <row r="44" spans="1:8" x14ac:dyDescent="0.3">
      <c r="G44" s="11"/>
      <c r="H44" s="11"/>
    </row>
    <row r="45" spans="1:8" x14ac:dyDescent="0.3">
      <c r="G45" s="11"/>
      <c r="H45" s="11"/>
    </row>
    <row r="46" spans="1:8" x14ac:dyDescent="0.3">
      <c r="H46" s="11"/>
    </row>
  </sheetData>
  <autoFilter ref="A1:F38" xr:uid="{00000000-0001-0000-0000-000000000000}">
    <sortState ref="A2:F21">
      <sortCondition ref="E2:E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BCA7-C7C1-43D8-825B-8E5CF9DE8206}">
  <sheetPr>
    <tabColor rgb="FFFFC000"/>
  </sheetPr>
  <dimension ref="A1:P32"/>
  <sheetViews>
    <sheetView topLeftCell="C1" workbookViewId="0">
      <selection activeCell="L20" sqref="L20"/>
    </sheetView>
  </sheetViews>
  <sheetFormatPr defaultColWidth="8.88671875" defaultRowHeight="14.4" x14ac:dyDescent="0.3"/>
  <cols>
    <col min="1" max="1" width="76.33203125" customWidth="1"/>
    <col min="2" max="2" width="22.88671875" customWidth="1"/>
    <col min="3" max="3" width="10.109375" bestFit="1" customWidth="1"/>
    <col min="4" max="4" width="12.44140625" bestFit="1" customWidth="1"/>
    <col min="5" max="5" width="34.44140625" customWidth="1"/>
    <col min="6" max="6" width="10.88671875" bestFit="1" customWidth="1"/>
    <col min="7" max="7" width="11.88671875" bestFit="1" customWidth="1"/>
    <col min="10" max="10" width="18" customWidth="1"/>
    <col min="14" max="14" width="18.109375" customWidth="1"/>
    <col min="15" max="15" width="10.44140625" customWidth="1"/>
    <col min="16" max="16" width="17" customWidth="1"/>
  </cols>
  <sheetData>
    <row r="1" spans="1:16" s="8" customFormat="1" x14ac:dyDescent="0.3">
      <c r="A1" s="8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75</v>
      </c>
      <c r="G1" s="8" t="s">
        <v>7</v>
      </c>
    </row>
    <row r="2" spans="1:16" x14ac:dyDescent="0.3">
      <c r="A2" s="1" t="s">
        <v>31</v>
      </c>
      <c r="B2" s="2" t="s">
        <v>10</v>
      </c>
      <c r="C2" s="2">
        <v>1</v>
      </c>
      <c r="D2" s="3">
        <v>44974</v>
      </c>
      <c r="E2" s="4" t="s">
        <v>32</v>
      </c>
      <c r="F2" s="10">
        <v>718</v>
      </c>
      <c r="G2" s="11">
        <f t="shared" ref="G2:G24" si="0">C2*F2</f>
        <v>718</v>
      </c>
    </row>
    <row r="3" spans="1:16" x14ac:dyDescent="0.3">
      <c r="A3" s="1" t="s">
        <v>33</v>
      </c>
      <c r="B3" s="2" t="s">
        <v>35</v>
      </c>
      <c r="C3" s="2">
        <v>2</v>
      </c>
      <c r="D3" s="3">
        <v>44985</v>
      </c>
      <c r="E3" s="4" t="s">
        <v>23</v>
      </c>
      <c r="F3" s="10">
        <v>1500</v>
      </c>
      <c r="G3" s="11">
        <f t="shared" si="0"/>
        <v>3000</v>
      </c>
      <c r="J3" s="13" t="s">
        <v>76</v>
      </c>
      <c r="K3" s="13" t="s">
        <v>3</v>
      </c>
      <c r="N3" s="8" t="s">
        <v>77</v>
      </c>
      <c r="O3" s="8" t="s">
        <v>78</v>
      </c>
      <c r="P3" s="8" t="s">
        <v>79</v>
      </c>
    </row>
    <row r="4" spans="1:16" x14ac:dyDescent="0.3">
      <c r="A4" s="1" t="s">
        <v>36</v>
      </c>
      <c r="B4" s="2" t="s">
        <v>10</v>
      </c>
      <c r="C4" s="2">
        <v>2</v>
      </c>
      <c r="D4" s="3">
        <v>44986</v>
      </c>
      <c r="E4" s="4" t="s">
        <v>23</v>
      </c>
      <c r="F4" s="10">
        <v>906</v>
      </c>
      <c r="G4" s="11">
        <f t="shared" si="0"/>
        <v>1812</v>
      </c>
      <c r="J4" s="12" t="s">
        <v>80</v>
      </c>
      <c r="K4" s="12">
        <v>24</v>
      </c>
      <c r="N4" s="26" t="s">
        <v>81</v>
      </c>
      <c r="O4" s="26">
        <v>1</v>
      </c>
      <c r="P4" s="27">
        <v>9100</v>
      </c>
    </row>
    <row r="5" spans="1:16" x14ac:dyDescent="0.3">
      <c r="A5" s="1" t="s">
        <v>37</v>
      </c>
      <c r="B5" s="2" t="s">
        <v>39</v>
      </c>
      <c r="C5" s="2">
        <v>2</v>
      </c>
      <c r="D5" s="3">
        <v>44991</v>
      </c>
      <c r="E5" s="4" t="s">
        <v>23</v>
      </c>
      <c r="F5" s="10">
        <v>538</v>
      </c>
      <c r="G5" s="11">
        <f t="shared" si="0"/>
        <v>1076</v>
      </c>
      <c r="J5" s="12" t="s">
        <v>82</v>
      </c>
      <c r="K5" s="12">
        <v>8</v>
      </c>
      <c r="N5" s="26" t="s">
        <v>10</v>
      </c>
      <c r="O5" s="26">
        <v>8</v>
      </c>
      <c r="P5" s="27">
        <v>6666</v>
      </c>
    </row>
    <row r="6" spans="1:16" x14ac:dyDescent="0.3">
      <c r="A6" s="1" t="s">
        <v>40</v>
      </c>
      <c r="B6" s="2" t="s">
        <v>28</v>
      </c>
      <c r="C6" s="2">
        <v>1</v>
      </c>
      <c r="D6" s="3">
        <v>45005</v>
      </c>
      <c r="E6" s="4" t="s">
        <v>23</v>
      </c>
      <c r="F6" s="10">
        <v>1890</v>
      </c>
      <c r="G6" s="11">
        <f>C6*F6</f>
        <v>1890</v>
      </c>
      <c r="J6" s="12" t="s">
        <v>83</v>
      </c>
      <c r="K6" s="12">
        <v>4</v>
      </c>
      <c r="N6" s="26" t="s">
        <v>28</v>
      </c>
      <c r="O6" s="26">
        <v>2</v>
      </c>
      <c r="P6" s="27">
        <v>3703</v>
      </c>
    </row>
    <row r="7" spans="1:16" x14ac:dyDescent="0.3">
      <c r="A7" s="17" t="s">
        <v>40</v>
      </c>
      <c r="B7" s="18" t="s">
        <v>28</v>
      </c>
      <c r="C7" s="18">
        <v>1</v>
      </c>
      <c r="D7" s="21">
        <v>45005</v>
      </c>
      <c r="E7" s="22" t="s">
        <v>41</v>
      </c>
      <c r="F7" s="23">
        <v>1813</v>
      </c>
      <c r="G7" s="11">
        <f t="shared" si="0"/>
        <v>1813</v>
      </c>
      <c r="J7" s="12" t="s">
        <v>51</v>
      </c>
      <c r="K7" s="12">
        <v>3</v>
      </c>
      <c r="N7" s="26" t="s">
        <v>44</v>
      </c>
      <c r="O7" s="26">
        <v>24</v>
      </c>
      <c r="P7" s="27">
        <v>3369</v>
      </c>
    </row>
    <row r="8" spans="1:16" x14ac:dyDescent="0.3">
      <c r="A8" t="s">
        <v>42</v>
      </c>
      <c r="B8" t="s">
        <v>44</v>
      </c>
      <c r="C8">
        <v>24</v>
      </c>
      <c r="D8" s="24">
        <v>45091</v>
      </c>
      <c r="E8" t="s">
        <v>25</v>
      </c>
      <c r="F8" s="25">
        <v>140.4</v>
      </c>
      <c r="G8" s="11">
        <f t="shared" si="0"/>
        <v>3369.6000000000004</v>
      </c>
      <c r="J8" s="12" t="s">
        <v>28</v>
      </c>
      <c r="K8" s="12">
        <v>2</v>
      </c>
      <c r="N8" s="26" t="s">
        <v>35</v>
      </c>
      <c r="O8" s="26">
        <v>2</v>
      </c>
      <c r="P8" s="27">
        <v>3000</v>
      </c>
    </row>
    <row r="9" spans="1:16" x14ac:dyDescent="0.3">
      <c r="A9" t="s">
        <v>45</v>
      </c>
      <c r="B9" t="s">
        <v>46</v>
      </c>
      <c r="C9">
        <v>2</v>
      </c>
      <c r="D9" s="24">
        <v>45091</v>
      </c>
      <c r="E9" t="s">
        <v>25</v>
      </c>
      <c r="F9" s="25">
        <v>608.4</v>
      </c>
      <c r="G9" s="11">
        <f t="shared" si="0"/>
        <v>1216.8</v>
      </c>
      <c r="J9" t="s">
        <v>46</v>
      </c>
      <c r="K9">
        <v>2</v>
      </c>
      <c r="N9" t="s">
        <v>84</v>
      </c>
      <c r="O9">
        <v>2</v>
      </c>
      <c r="P9" s="11">
        <v>1216</v>
      </c>
    </row>
    <row r="10" spans="1:16" x14ac:dyDescent="0.3">
      <c r="A10" t="s">
        <v>47</v>
      </c>
      <c r="B10" t="s">
        <v>10</v>
      </c>
      <c r="C10">
        <v>1</v>
      </c>
      <c r="D10" s="24">
        <v>45076</v>
      </c>
      <c r="E10" t="s">
        <v>11</v>
      </c>
      <c r="F10" s="25">
        <v>965</v>
      </c>
      <c r="G10" s="11">
        <f t="shared" si="0"/>
        <v>965</v>
      </c>
      <c r="J10" t="s">
        <v>85</v>
      </c>
      <c r="K10">
        <v>2</v>
      </c>
      <c r="N10" t="s">
        <v>39</v>
      </c>
      <c r="O10">
        <v>2</v>
      </c>
      <c r="P10" s="11">
        <v>1076</v>
      </c>
    </row>
    <row r="11" spans="1:16" x14ac:dyDescent="0.3">
      <c r="A11" t="s">
        <v>48</v>
      </c>
      <c r="B11" t="s">
        <v>17</v>
      </c>
      <c r="C11">
        <v>1</v>
      </c>
      <c r="D11" s="24">
        <v>45103</v>
      </c>
      <c r="E11" t="s">
        <v>49</v>
      </c>
      <c r="F11" s="25">
        <v>240</v>
      </c>
      <c r="G11" s="11">
        <f t="shared" si="0"/>
        <v>240</v>
      </c>
      <c r="J11" t="s">
        <v>54</v>
      </c>
      <c r="K11">
        <v>2</v>
      </c>
      <c r="N11" t="s">
        <v>51</v>
      </c>
      <c r="O11">
        <v>3</v>
      </c>
      <c r="P11" s="11">
        <v>975</v>
      </c>
    </row>
    <row r="12" spans="1:16" x14ac:dyDescent="0.3">
      <c r="A12" t="s">
        <v>50</v>
      </c>
      <c r="B12" t="s">
        <v>51</v>
      </c>
      <c r="C12">
        <v>3</v>
      </c>
      <c r="D12" s="24">
        <v>45103</v>
      </c>
      <c r="E12" t="s">
        <v>49</v>
      </c>
      <c r="F12" s="25">
        <v>325</v>
      </c>
      <c r="G12" s="11">
        <f t="shared" si="0"/>
        <v>975</v>
      </c>
      <c r="J12" t="s">
        <v>35</v>
      </c>
      <c r="K12">
        <v>2</v>
      </c>
      <c r="N12" t="s">
        <v>86</v>
      </c>
      <c r="O12">
        <v>2</v>
      </c>
      <c r="P12" s="11">
        <v>900</v>
      </c>
    </row>
    <row r="13" spans="1:16" x14ac:dyDescent="0.3">
      <c r="A13" t="s">
        <v>52</v>
      </c>
      <c r="B13" t="s">
        <v>52</v>
      </c>
      <c r="C13">
        <v>1</v>
      </c>
      <c r="D13" s="24">
        <v>44949</v>
      </c>
      <c r="E13" t="s">
        <v>11</v>
      </c>
      <c r="F13" s="25">
        <v>258.26</v>
      </c>
      <c r="G13" s="11">
        <f t="shared" si="0"/>
        <v>258.26</v>
      </c>
      <c r="J13" t="s">
        <v>87</v>
      </c>
      <c r="K13">
        <v>2</v>
      </c>
      <c r="P13" s="11"/>
    </row>
    <row r="14" spans="1:16" x14ac:dyDescent="0.3">
      <c r="A14" s="19" t="s">
        <v>53</v>
      </c>
      <c r="B14" s="20" t="s">
        <v>54</v>
      </c>
      <c r="C14" s="20">
        <v>2</v>
      </c>
      <c r="D14" s="24">
        <v>45020</v>
      </c>
      <c r="E14" t="s">
        <v>11</v>
      </c>
      <c r="F14" s="25">
        <v>67</v>
      </c>
      <c r="G14" s="11">
        <f t="shared" si="0"/>
        <v>134</v>
      </c>
      <c r="J14" t="s">
        <v>52</v>
      </c>
      <c r="K14">
        <v>1</v>
      </c>
      <c r="P14" s="11"/>
    </row>
    <row r="15" spans="1:16" x14ac:dyDescent="0.3">
      <c r="A15" s="19" t="s">
        <v>55</v>
      </c>
      <c r="B15" s="20" t="s">
        <v>56</v>
      </c>
      <c r="C15" s="20">
        <v>1</v>
      </c>
      <c r="D15" s="24">
        <v>45020</v>
      </c>
      <c r="E15" t="s">
        <v>11</v>
      </c>
      <c r="F15" s="25">
        <v>143</v>
      </c>
      <c r="G15" s="11">
        <f t="shared" si="0"/>
        <v>143</v>
      </c>
      <c r="J15" t="s">
        <v>88</v>
      </c>
      <c r="K15">
        <v>1</v>
      </c>
      <c r="P15" s="11"/>
    </row>
    <row r="16" spans="1:16" x14ac:dyDescent="0.3">
      <c r="A16" s="19" t="s">
        <v>57</v>
      </c>
      <c r="B16" s="20" t="s">
        <v>58</v>
      </c>
      <c r="C16" s="20">
        <v>4</v>
      </c>
      <c r="D16" s="24">
        <v>45020</v>
      </c>
      <c r="E16" t="s">
        <v>11</v>
      </c>
      <c r="F16" s="25">
        <v>37</v>
      </c>
      <c r="G16" s="11">
        <f t="shared" si="0"/>
        <v>148</v>
      </c>
      <c r="J16" t="s">
        <v>89</v>
      </c>
      <c r="K16">
        <v>1</v>
      </c>
      <c r="P16" s="11"/>
    </row>
    <row r="17" spans="1:11" x14ac:dyDescent="0.3">
      <c r="A17" s="19" t="s">
        <v>59</v>
      </c>
      <c r="B17" t="s">
        <v>60</v>
      </c>
      <c r="C17">
        <v>1</v>
      </c>
      <c r="D17" s="24">
        <v>45078</v>
      </c>
      <c r="E17" t="s">
        <v>11</v>
      </c>
      <c r="F17" s="25">
        <v>120</v>
      </c>
      <c r="G17" s="11">
        <f t="shared" si="0"/>
        <v>120</v>
      </c>
      <c r="J17" t="s">
        <v>90</v>
      </c>
      <c r="K17">
        <v>1</v>
      </c>
    </row>
    <row r="18" spans="1:11" x14ac:dyDescent="0.3">
      <c r="A18" t="s">
        <v>61</v>
      </c>
      <c r="B18" t="s">
        <v>10</v>
      </c>
      <c r="C18">
        <v>1</v>
      </c>
      <c r="D18" s="24">
        <v>45159</v>
      </c>
      <c r="E18" t="s">
        <v>62</v>
      </c>
      <c r="F18" s="25">
        <v>929</v>
      </c>
      <c r="G18" s="11">
        <f t="shared" si="0"/>
        <v>929</v>
      </c>
      <c r="J18" t="s">
        <v>91</v>
      </c>
      <c r="K18">
        <v>1</v>
      </c>
    </row>
    <row r="19" spans="1:11" x14ac:dyDescent="0.3">
      <c r="A19" t="s">
        <v>63</v>
      </c>
      <c r="B19" t="s">
        <v>10</v>
      </c>
      <c r="C19">
        <v>1</v>
      </c>
      <c r="D19" s="24">
        <v>45173</v>
      </c>
      <c r="E19" t="s">
        <v>23</v>
      </c>
      <c r="F19" s="25">
        <v>869</v>
      </c>
      <c r="G19" s="11">
        <f t="shared" si="0"/>
        <v>869</v>
      </c>
      <c r="J19" t="s">
        <v>92</v>
      </c>
      <c r="K19">
        <v>1</v>
      </c>
    </row>
    <row r="20" spans="1:11" x14ac:dyDescent="0.3">
      <c r="A20" t="s">
        <v>64</v>
      </c>
      <c r="B20" t="s">
        <v>10</v>
      </c>
      <c r="C20">
        <v>1</v>
      </c>
      <c r="D20" s="24">
        <v>45209</v>
      </c>
      <c r="E20" t="s">
        <v>11</v>
      </c>
      <c r="F20" s="25">
        <v>950</v>
      </c>
      <c r="G20" s="11">
        <f t="shared" si="0"/>
        <v>950</v>
      </c>
      <c r="K20">
        <f>SUM(K4:K19)</f>
        <v>57</v>
      </c>
    </row>
    <row r="21" spans="1:11" x14ac:dyDescent="0.3">
      <c r="A21" t="s">
        <v>65</v>
      </c>
      <c r="B21" t="s">
        <v>10</v>
      </c>
      <c r="C21">
        <v>1</v>
      </c>
      <c r="D21" s="24">
        <v>45216</v>
      </c>
      <c r="E21" t="s">
        <v>66</v>
      </c>
      <c r="F21" s="25">
        <v>423</v>
      </c>
      <c r="G21" s="11">
        <f t="shared" si="0"/>
        <v>423</v>
      </c>
    </row>
    <row r="22" spans="1:11" x14ac:dyDescent="0.3">
      <c r="A22" t="s">
        <v>67</v>
      </c>
      <c r="B22" t="s">
        <v>68</v>
      </c>
      <c r="C22">
        <v>1</v>
      </c>
      <c r="D22" s="24">
        <v>45240</v>
      </c>
      <c r="E22" t="s">
        <v>69</v>
      </c>
      <c r="F22" s="11">
        <v>9100</v>
      </c>
      <c r="G22" s="11">
        <f t="shared" si="0"/>
        <v>9100</v>
      </c>
    </row>
    <row r="23" spans="1:11" x14ac:dyDescent="0.3">
      <c r="A23" t="s">
        <v>70</v>
      </c>
      <c r="B23" t="s">
        <v>71</v>
      </c>
      <c r="C23">
        <v>2</v>
      </c>
      <c r="D23" s="24">
        <v>45240</v>
      </c>
      <c r="E23" t="s">
        <v>69</v>
      </c>
      <c r="F23" s="11">
        <v>450</v>
      </c>
      <c r="G23" s="11">
        <f t="shared" si="0"/>
        <v>900</v>
      </c>
    </row>
    <row r="24" spans="1:11" x14ac:dyDescent="0.3">
      <c r="A24" t="s">
        <v>72</v>
      </c>
      <c r="B24" t="s">
        <v>73</v>
      </c>
      <c r="C24">
        <v>1</v>
      </c>
      <c r="D24" s="24">
        <v>45272</v>
      </c>
      <c r="E24" t="s">
        <v>74</v>
      </c>
      <c r="F24" s="11">
        <v>345</v>
      </c>
      <c r="G24" s="11">
        <f t="shared" si="0"/>
        <v>345</v>
      </c>
    </row>
    <row r="25" spans="1:11" s="14" customFormat="1" x14ac:dyDescent="0.3">
      <c r="A25" s="13" t="s">
        <v>93</v>
      </c>
      <c r="C25" s="13">
        <f>SUM(C2:C24)</f>
        <v>57</v>
      </c>
      <c r="F25" s="15"/>
      <c r="G25" s="16">
        <f>SUM(G2:G24)</f>
        <v>31394.66</v>
      </c>
    </row>
    <row r="26" spans="1:11" x14ac:dyDescent="0.3">
      <c r="F26" s="11"/>
      <c r="G26" s="11"/>
    </row>
    <row r="27" spans="1:11" x14ac:dyDescent="0.3">
      <c r="F27" s="11"/>
      <c r="G27" s="11"/>
    </row>
    <row r="28" spans="1:11" x14ac:dyDescent="0.3">
      <c r="F28" s="11"/>
      <c r="G28" s="11"/>
    </row>
    <row r="29" spans="1:11" x14ac:dyDescent="0.3">
      <c r="F29" s="11"/>
      <c r="G29" s="11"/>
    </row>
    <row r="30" spans="1:11" x14ac:dyDescent="0.3">
      <c r="F30" s="11"/>
      <c r="G30" s="11"/>
    </row>
    <row r="31" spans="1:11" x14ac:dyDescent="0.3">
      <c r="F31" s="11"/>
      <c r="G31" s="11"/>
    </row>
    <row r="32" spans="1:11" x14ac:dyDescent="0.3">
      <c r="G3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8A58-EA88-45A6-A11C-BF0A20323A3B}">
  <dimension ref="A1:D18"/>
  <sheetViews>
    <sheetView workbookViewId="0">
      <selection activeCell="A5" sqref="A5"/>
    </sheetView>
  </sheetViews>
  <sheetFormatPr defaultColWidth="8.88671875" defaultRowHeight="14.4" x14ac:dyDescent="0.3"/>
  <cols>
    <col min="1" max="1" width="23.6640625" bestFit="1" customWidth="1"/>
    <col min="2" max="2" width="24.33203125" bestFit="1" customWidth="1"/>
    <col min="3" max="3" width="14.44140625" bestFit="1" customWidth="1"/>
    <col min="4" max="4" width="19.33203125" bestFit="1" customWidth="1"/>
  </cols>
  <sheetData>
    <row r="1" spans="1:4" s="8" customFormat="1" x14ac:dyDescent="0.3">
      <c r="A1" s="8" t="s">
        <v>94</v>
      </c>
      <c r="B1" s="8" t="s">
        <v>95</v>
      </c>
      <c r="C1" s="8" t="s">
        <v>96</v>
      </c>
      <c r="D1" s="8" t="s">
        <v>97</v>
      </c>
    </row>
    <row r="2" spans="1:4" x14ac:dyDescent="0.3">
      <c r="A2" t="s">
        <v>9</v>
      </c>
      <c r="B2" t="s">
        <v>13</v>
      </c>
      <c r="C2" s="28">
        <v>0</v>
      </c>
      <c r="D2" s="28">
        <f>SUM(C2:C4)</f>
        <v>10</v>
      </c>
    </row>
    <row r="3" spans="1:4" x14ac:dyDescent="0.3">
      <c r="A3" t="s">
        <v>9</v>
      </c>
      <c r="B3" t="s">
        <v>10</v>
      </c>
      <c r="C3" s="28">
        <v>8</v>
      </c>
      <c r="D3" s="28"/>
    </row>
    <row r="4" spans="1:4" x14ac:dyDescent="0.3">
      <c r="A4" t="s">
        <v>9</v>
      </c>
      <c r="B4" t="s">
        <v>28</v>
      </c>
      <c r="C4" s="28">
        <v>2</v>
      </c>
      <c r="D4" s="28"/>
    </row>
    <row r="5" spans="1:4" x14ac:dyDescent="0.3">
      <c r="A5" t="s">
        <v>38</v>
      </c>
      <c r="B5" t="s">
        <v>60</v>
      </c>
      <c r="C5" s="28">
        <v>1</v>
      </c>
      <c r="D5" s="28">
        <f>SUM(C5:C7)</f>
        <v>10</v>
      </c>
    </row>
    <row r="6" spans="1:4" x14ac:dyDescent="0.3">
      <c r="A6" t="s">
        <v>38</v>
      </c>
      <c r="B6" t="s">
        <v>51</v>
      </c>
      <c r="C6" s="28">
        <v>3</v>
      </c>
      <c r="D6" s="28"/>
    </row>
    <row r="7" spans="1:4" x14ac:dyDescent="0.3">
      <c r="A7" t="s">
        <v>38</v>
      </c>
      <c r="B7" t="s">
        <v>39</v>
      </c>
      <c r="C7" s="28">
        <v>6</v>
      </c>
      <c r="D7" s="28"/>
    </row>
    <row r="8" spans="1:4" x14ac:dyDescent="0.3">
      <c r="A8" t="s">
        <v>16</v>
      </c>
      <c r="B8" t="s">
        <v>68</v>
      </c>
      <c r="C8" s="28">
        <v>1</v>
      </c>
      <c r="D8" s="28">
        <f>SUM(C8:C10)</f>
        <v>4</v>
      </c>
    </row>
    <row r="9" spans="1:4" x14ac:dyDescent="0.3">
      <c r="A9" t="s">
        <v>16</v>
      </c>
      <c r="B9" t="s">
        <v>17</v>
      </c>
      <c r="C9" s="28">
        <v>1</v>
      </c>
      <c r="D9" s="28"/>
    </row>
    <row r="10" spans="1:4" x14ac:dyDescent="0.3">
      <c r="A10" t="s">
        <v>16</v>
      </c>
      <c r="B10" t="s">
        <v>71</v>
      </c>
      <c r="C10" s="28">
        <v>2</v>
      </c>
      <c r="D10" s="28"/>
    </row>
    <row r="11" spans="1:4" x14ac:dyDescent="0.3">
      <c r="A11" t="s">
        <v>34</v>
      </c>
      <c r="B11" t="s">
        <v>52</v>
      </c>
      <c r="C11" s="28">
        <v>1</v>
      </c>
      <c r="D11" s="28">
        <f>SUM(C11:C13)</f>
        <v>8</v>
      </c>
    </row>
    <row r="12" spans="1:4" x14ac:dyDescent="0.3">
      <c r="A12" t="s">
        <v>34</v>
      </c>
      <c r="B12" t="s">
        <v>58</v>
      </c>
      <c r="C12" s="28">
        <v>4</v>
      </c>
      <c r="D12" s="28"/>
    </row>
    <row r="13" spans="1:4" x14ac:dyDescent="0.3">
      <c r="A13" t="s">
        <v>34</v>
      </c>
      <c r="B13" t="s">
        <v>35</v>
      </c>
      <c r="C13" s="28">
        <v>3</v>
      </c>
      <c r="D13" s="28"/>
    </row>
    <row r="14" spans="1:4" x14ac:dyDescent="0.3">
      <c r="A14" t="s">
        <v>43</v>
      </c>
      <c r="B14" t="s">
        <v>56</v>
      </c>
      <c r="C14" s="28">
        <v>1</v>
      </c>
      <c r="D14" s="28">
        <f>SUM(C14:C17)</f>
        <v>29</v>
      </c>
    </row>
    <row r="15" spans="1:4" x14ac:dyDescent="0.3">
      <c r="A15" t="s">
        <v>43</v>
      </c>
      <c r="B15" t="s">
        <v>44</v>
      </c>
      <c r="C15" s="28">
        <v>24</v>
      </c>
      <c r="D15" s="28"/>
    </row>
    <row r="16" spans="1:4" x14ac:dyDescent="0.3">
      <c r="A16" t="s">
        <v>43</v>
      </c>
      <c r="B16" t="s">
        <v>54</v>
      </c>
      <c r="C16" s="28">
        <v>2</v>
      </c>
      <c r="D16" s="28"/>
    </row>
    <row r="17" spans="1:4" x14ac:dyDescent="0.3">
      <c r="A17" t="s">
        <v>43</v>
      </c>
      <c r="B17" t="s">
        <v>46</v>
      </c>
      <c r="C17" s="28">
        <v>2</v>
      </c>
      <c r="D17" s="28"/>
    </row>
    <row r="18" spans="1:4" x14ac:dyDescent="0.3">
      <c r="C18" s="29">
        <f>SUM(C2:C17)</f>
        <v>61</v>
      </c>
      <c r="D18" s="29">
        <f>SUM(D2:D17)</f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2B7A-80EC-43E3-AD71-953D543154F8}">
  <sheetPr>
    <tabColor theme="4" tint="0.39997558519241921"/>
  </sheetPr>
  <dimension ref="A1:L71"/>
  <sheetViews>
    <sheetView workbookViewId="0">
      <pane ySplit="1" topLeftCell="A110" activePane="bottomLeft" state="frozen"/>
      <selection pane="bottomLeft" activeCell="A36" sqref="A36"/>
    </sheetView>
  </sheetViews>
  <sheetFormatPr defaultColWidth="8.88671875" defaultRowHeight="14.4" x14ac:dyDescent="0.3"/>
  <cols>
    <col min="1" max="1" width="92.44140625" customWidth="1"/>
    <col min="2" max="2" width="21.6640625" bestFit="1" customWidth="1"/>
    <col min="3" max="3" width="23.109375" customWidth="1"/>
    <col min="4" max="4" width="12.44140625" style="67" bestFit="1" customWidth="1"/>
    <col min="5" max="5" width="19.5546875" customWidth="1"/>
    <col min="6" max="6" width="39.109375" customWidth="1"/>
    <col min="7" max="7" width="37.6640625" customWidth="1"/>
    <col min="8" max="8" width="17.33203125" customWidth="1"/>
    <col min="9" max="9" width="10.88671875" customWidth="1"/>
    <col min="10" max="10" width="11.88671875" bestFit="1" customWidth="1"/>
    <col min="11" max="11" width="11.88671875" customWidth="1"/>
    <col min="12" max="12" width="11" customWidth="1"/>
  </cols>
  <sheetData>
    <row r="1" spans="1:7" x14ac:dyDescent="0.3">
      <c r="A1" s="8" t="s">
        <v>98</v>
      </c>
      <c r="B1" s="8" t="s">
        <v>2</v>
      </c>
      <c r="C1" s="8" t="s">
        <v>1</v>
      </c>
      <c r="D1" s="66" t="s">
        <v>3</v>
      </c>
      <c r="E1" s="8" t="s">
        <v>4</v>
      </c>
      <c r="F1" s="8" t="s">
        <v>99</v>
      </c>
      <c r="G1" s="8" t="s">
        <v>5</v>
      </c>
    </row>
    <row r="2" spans="1:7" x14ac:dyDescent="0.3">
      <c r="A2" t="s">
        <v>100</v>
      </c>
      <c r="B2" t="s">
        <v>101</v>
      </c>
      <c r="C2" t="s">
        <v>102</v>
      </c>
      <c r="D2" s="67">
        <v>3</v>
      </c>
      <c r="E2" s="24">
        <v>45306</v>
      </c>
      <c r="F2" t="s">
        <v>103</v>
      </c>
      <c r="G2" t="s">
        <v>103</v>
      </c>
    </row>
    <row r="3" spans="1:7" x14ac:dyDescent="0.3">
      <c r="A3" s="31" t="s">
        <v>104</v>
      </c>
      <c r="B3" s="31" t="s">
        <v>60</v>
      </c>
      <c r="C3" s="31" t="s">
        <v>38</v>
      </c>
      <c r="D3" s="68">
        <v>4</v>
      </c>
      <c r="E3" s="24">
        <v>45307</v>
      </c>
      <c r="F3" s="31" t="s">
        <v>23</v>
      </c>
      <c r="G3" s="51" t="s">
        <v>23</v>
      </c>
    </row>
    <row r="4" spans="1:7" x14ac:dyDescent="0.3">
      <c r="A4" s="31" t="s">
        <v>105</v>
      </c>
      <c r="B4" s="31" t="s">
        <v>39</v>
      </c>
      <c r="C4" s="31" t="s">
        <v>38</v>
      </c>
      <c r="D4" s="68">
        <v>1</v>
      </c>
      <c r="E4" s="24">
        <v>45308</v>
      </c>
      <c r="F4" s="31" t="s">
        <v>23</v>
      </c>
      <c r="G4" s="51" t="s">
        <v>23</v>
      </c>
    </row>
    <row r="5" spans="1:7" x14ac:dyDescent="0.3">
      <c r="A5" s="31" t="s">
        <v>106</v>
      </c>
      <c r="B5" s="31" t="s">
        <v>107</v>
      </c>
      <c r="C5" s="31" t="s">
        <v>9</v>
      </c>
      <c r="D5" s="68">
        <v>1</v>
      </c>
      <c r="E5" s="24">
        <v>45309</v>
      </c>
      <c r="F5" s="31" t="s">
        <v>30</v>
      </c>
      <c r="G5" s="43" t="s">
        <v>30</v>
      </c>
    </row>
    <row r="6" spans="1:7" x14ac:dyDescent="0.3">
      <c r="A6" t="s">
        <v>108</v>
      </c>
      <c r="B6" s="31" t="s">
        <v>109</v>
      </c>
      <c r="C6" t="s">
        <v>16</v>
      </c>
      <c r="D6" s="68">
        <v>1</v>
      </c>
      <c r="E6" s="24">
        <v>45315</v>
      </c>
      <c r="F6" t="s">
        <v>110</v>
      </c>
      <c r="G6" t="s">
        <v>110</v>
      </c>
    </row>
    <row r="7" spans="1:7" x14ac:dyDescent="0.3">
      <c r="A7" s="31" t="s">
        <v>111</v>
      </c>
      <c r="B7" s="31" t="s">
        <v>112</v>
      </c>
      <c r="C7" s="31" t="s">
        <v>9</v>
      </c>
      <c r="D7" s="68">
        <v>1</v>
      </c>
      <c r="E7" s="24">
        <v>45328</v>
      </c>
      <c r="F7" s="31" t="s">
        <v>30</v>
      </c>
      <c r="G7" s="43" t="s">
        <v>30</v>
      </c>
    </row>
    <row r="8" spans="1:7" x14ac:dyDescent="0.3">
      <c r="A8" s="31" t="s">
        <v>113</v>
      </c>
      <c r="B8" s="31" t="s">
        <v>101</v>
      </c>
      <c r="C8" s="31" t="s">
        <v>102</v>
      </c>
      <c r="D8" s="68">
        <v>1</v>
      </c>
      <c r="E8" s="24">
        <v>45328</v>
      </c>
      <c r="F8" s="31" t="s">
        <v>30</v>
      </c>
      <c r="G8" s="43" t="s">
        <v>30</v>
      </c>
    </row>
    <row r="9" spans="1:7" x14ac:dyDescent="0.3">
      <c r="A9" s="31" t="s">
        <v>113</v>
      </c>
      <c r="B9" s="31" t="s">
        <v>114</v>
      </c>
      <c r="C9" s="31" t="s">
        <v>102</v>
      </c>
      <c r="D9" s="68">
        <v>1</v>
      </c>
      <c r="E9" s="24">
        <v>45328</v>
      </c>
      <c r="F9" s="31" t="s">
        <v>30</v>
      </c>
      <c r="G9" s="43" t="s">
        <v>30</v>
      </c>
    </row>
    <row r="10" spans="1:7" x14ac:dyDescent="0.3">
      <c r="A10" s="48" t="s">
        <v>115</v>
      </c>
      <c r="B10" t="s">
        <v>116</v>
      </c>
      <c r="C10" t="s">
        <v>117</v>
      </c>
      <c r="D10" s="67">
        <v>1</v>
      </c>
      <c r="E10" s="24">
        <v>45338</v>
      </c>
      <c r="F10" t="s">
        <v>11</v>
      </c>
      <c r="G10" s="62" t="s">
        <v>11</v>
      </c>
    </row>
    <row r="11" spans="1:7" x14ac:dyDescent="0.3">
      <c r="A11" s="48" t="s">
        <v>118</v>
      </c>
      <c r="B11" t="s">
        <v>119</v>
      </c>
      <c r="C11" t="s">
        <v>120</v>
      </c>
      <c r="D11" s="67">
        <v>5</v>
      </c>
      <c r="E11" s="24">
        <v>45338</v>
      </c>
      <c r="F11" t="s">
        <v>11</v>
      </c>
      <c r="G11" s="62" t="s">
        <v>11</v>
      </c>
    </row>
    <row r="12" spans="1:7" x14ac:dyDescent="0.3">
      <c r="A12" t="s">
        <v>121</v>
      </c>
      <c r="B12" t="s">
        <v>35</v>
      </c>
      <c r="C12" t="s">
        <v>34</v>
      </c>
      <c r="D12" s="67">
        <v>1</v>
      </c>
      <c r="E12" s="24">
        <v>45338</v>
      </c>
      <c r="F12" t="s">
        <v>122</v>
      </c>
      <c r="G12" s="47" t="s">
        <v>74</v>
      </c>
    </row>
    <row r="13" spans="1:7" x14ac:dyDescent="0.3">
      <c r="A13" t="s">
        <v>123</v>
      </c>
      <c r="B13" t="s">
        <v>107</v>
      </c>
      <c r="C13" s="31" t="s">
        <v>9</v>
      </c>
      <c r="D13" s="67">
        <v>1</v>
      </c>
      <c r="E13" s="24">
        <v>45343</v>
      </c>
      <c r="F13" t="s">
        <v>124</v>
      </c>
      <c r="G13" s="57" t="s">
        <v>125</v>
      </c>
    </row>
    <row r="14" spans="1:7" x14ac:dyDescent="0.3">
      <c r="A14" t="s">
        <v>123</v>
      </c>
      <c r="B14" t="s">
        <v>107</v>
      </c>
      <c r="C14" s="31" t="s">
        <v>9</v>
      </c>
      <c r="D14" s="67">
        <v>1</v>
      </c>
      <c r="E14" s="24">
        <v>45343</v>
      </c>
      <c r="F14" t="s">
        <v>126</v>
      </c>
      <c r="G14" s="55" t="s">
        <v>127</v>
      </c>
    </row>
    <row r="15" spans="1:7" x14ac:dyDescent="0.3">
      <c r="A15" t="s">
        <v>128</v>
      </c>
      <c r="B15" t="s">
        <v>116</v>
      </c>
      <c r="C15" t="s">
        <v>117</v>
      </c>
      <c r="D15" s="67">
        <v>1</v>
      </c>
      <c r="E15" s="24">
        <v>45344</v>
      </c>
      <c r="F15" t="s">
        <v>110</v>
      </c>
      <c r="G15" t="s">
        <v>110</v>
      </c>
    </row>
    <row r="16" spans="1:7" x14ac:dyDescent="0.3">
      <c r="A16" t="s">
        <v>129</v>
      </c>
      <c r="B16" t="s">
        <v>116</v>
      </c>
      <c r="C16" t="s">
        <v>117</v>
      </c>
      <c r="D16" s="67">
        <v>3</v>
      </c>
      <c r="E16" s="24">
        <v>45344</v>
      </c>
      <c r="F16" t="s">
        <v>110</v>
      </c>
      <c r="G16" t="s">
        <v>110</v>
      </c>
    </row>
    <row r="17" spans="1:12" x14ac:dyDescent="0.3">
      <c r="A17" t="s">
        <v>130</v>
      </c>
      <c r="B17" t="s">
        <v>116</v>
      </c>
      <c r="C17" t="s">
        <v>117</v>
      </c>
      <c r="D17" s="67">
        <v>1</v>
      </c>
      <c r="E17" s="24">
        <v>45344</v>
      </c>
      <c r="F17" t="s">
        <v>110</v>
      </c>
      <c r="G17" t="s">
        <v>110</v>
      </c>
    </row>
    <row r="18" spans="1:12" x14ac:dyDescent="0.3">
      <c r="A18" t="s">
        <v>131</v>
      </c>
      <c r="B18" t="s">
        <v>116</v>
      </c>
      <c r="C18" t="s">
        <v>117</v>
      </c>
      <c r="D18" s="67">
        <v>3</v>
      </c>
      <c r="E18" s="24">
        <v>45344</v>
      </c>
      <c r="F18" t="s">
        <v>110</v>
      </c>
      <c r="G18" t="s">
        <v>110</v>
      </c>
    </row>
    <row r="19" spans="1:12" x14ac:dyDescent="0.3">
      <c r="A19" s="32" t="s">
        <v>132</v>
      </c>
      <c r="B19" s="33" t="s">
        <v>112</v>
      </c>
      <c r="C19" s="31" t="s">
        <v>9</v>
      </c>
      <c r="D19" s="69">
        <v>1</v>
      </c>
      <c r="E19" s="24">
        <v>45355</v>
      </c>
      <c r="F19" t="s">
        <v>110</v>
      </c>
      <c r="G19" t="s">
        <v>110</v>
      </c>
    </row>
    <row r="20" spans="1:12" x14ac:dyDescent="0.3">
      <c r="A20" t="s">
        <v>133</v>
      </c>
      <c r="B20" s="31" t="s">
        <v>109</v>
      </c>
      <c r="C20" t="s">
        <v>16</v>
      </c>
      <c r="D20" s="68">
        <v>1</v>
      </c>
      <c r="E20" s="24">
        <v>45355</v>
      </c>
      <c r="F20" t="s">
        <v>110</v>
      </c>
      <c r="G20" t="s">
        <v>110</v>
      </c>
    </row>
    <row r="21" spans="1:12" x14ac:dyDescent="0.3">
      <c r="A21" t="s">
        <v>134</v>
      </c>
      <c r="B21" s="31" t="s">
        <v>88</v>
      </c>
      <c r="C21" t="s">
        <v>16</v>
      </c>
      <c r="D21" s="68">
        <v>1</v>
      </c>
      <c r="E21" s="24">
        <v>45355</v>
      </c>
      <c r="F21" t="s">
        <v>135</v>
      </c>
      <c r="G21" t="s">
        <v>110</v>
      </c>
    </row>
    <row r="22" spans="1:12" x14ac:dyDescent="0.3">
      <c r="A22" s="31" t="s">
        <v>106</v>
      </c>
      <c r="B22" t="s">
        <v>107</v>
      </c>
      <c r="C22" s="31" t="s">
        <v>9</v>
      </c>
      <c r="D22" s="67">
        <v>1</v>
      </c>
      <c r="E22" s="24">
        <v>45398</v>
      </c>
      <c r="F22" t="s">
        <v>124</v>
      </c>
      <c r="G22" s="57" t="s">
        <v>125</v>
      </c>
    </row>
    <row r="23" spans="1:12" x14ac:dyDescent="0.3">
      <c r="A23" s="31" t="s">
        <v>106</v>
      </c>
      <c r="B23" s="38" t="s">
        <v>107</v>
      </c>
      <c r="C23" s="31" t="s">
        <v>9</v>
      </c>
      <c r="D23" s="70">
        <v>1</v>
      </c>
      <c r="E23" s="24">
        <v>45412</v>
      </c>
      <c r="F23" t="s">
        <v>136</v>
      </c>
      <c r="G23" s="58" t="s">
        <v>136</v>
      </c>
    </row>
    <row r="24" spans="1:12" x14ac:dyDescent="0.3">
      <c r="A24" s="31" t="s">
        <v>106</v>
      </c>
      <c r="B24" s="38" t="s">
        <v>107</v>
      </c>
      <c r="C24" s="31" t="s">
        <v>9</v>
      </c>
      <c r="D24" s="70">
        <v>4</v>
      </c>
      <c r="E24" s="24">
        <v>45420</v>
      </c>
      <c r="F24" t="s">
        <v>137</v>
      </c>
      <c r="G24" s="59" t="s">
        <v>137</v>
      </c>
      <c r="H24" s="25"/>
      <c r="I24" s="25"/>
      <c r="J24" s="11"/>
      <c r="K24" s="11"/>
      <c r="L24" s="11"/>
    </row>
    <row r="25" spans="1:12" x14ac:dyDescent="0.3">
      <c r="A25" s="31" t="s">
        <v>138</v>
      </c>
      <c r="B25" s="31" t="s">
        <v>139</v>
      </c>
      <c r="C25" t="s">
        <v>120</v>
      </c>
      <c r="D25" s="67">
        <v>1</v>
      </c>
      <c r="E25" s="24">
        <v>45447</v>
      </c>
      <c r="F25" t="s">
        <v>122</v>
      </c>
      <c r="G25" s="55" t="s">
        <v>127</v>
      </c>
      <c r="H25" s="25"/>
      <c r="I25" s="25"/>
      <c r="J25" s="11"/>
      <c r="K25" s="11"/>
    </row>
    <row r="26" spans="1:12" x14ac:dyDescent="0.3">
      <c r="A26" s="31" t="s">
        <v>140</v>
      </c>
      <c r="B26" t="s">
        <v>112</v>
      </c>
      <c r="C26" s="31" t="s">
        <v>9</v>
      </c>
      <c r="D26" s="67">
        <v>1</v>
      </c>
      <c r="E26" s="24">
        <v>45454</v>
      </c>
      <c r="F26" t="s">
        <v>137</v>
      </c>
      <c r="G26" s="59" t="s">
        <v>137</v>
      </c>
      <c r="H26" s="25"/>
      <c r="I26" s="25"/>
      <c r="J26" s="11"/>
      <c r="K26" s="11"/>
    </row>
    <row r="27" spans="1:12" x14ac:dyDescent="0.3">
      <c r="A27" t="s">
        <v>141</v>
      </c>
      <c r="B27" t="s">
        <v>109</v>
      </c>
      <c r="C27" t="s">
        <v>16</v>
      </c>
      <c r="D27" s="67">
        <v>1</v>
      </c>
      <c r="E27" s="24">
        <v>45454</v>
      </c>
      <c r="F27" t="s">
        <v>137</v>
      </c>
      <c r="G27" s="59" t="s">
        <v>137</v>
      </c>
      <c r="H27" s="25"/>
      <c r="I27" s="25"/>
      <c r="J27" s="11"/>
      <c r="K27" s="11"/>
    </row>
    <row r="28" spans="1:12" x14ac:dyDescent="0.3">
      <c r="A28" t="s">
        <v>142</v>
      </c>
      <c r="B28" t="s">
        <v>116</v>
      </c>
      <c r="C28" t="s">
        <v>117</v>
      </c>
      <c r="D28" s="67">
        <v>3</v>
      </c>
      <c r="E28" s="24">
        <v>45464</v>
      </c>
      <c r="F28" t="s">
        <v>11</v>
      </c>
      <c r="G28" s="62" t="s">
        <v>11</v>
      </c>
      <c r="H28" s="25"/>
      <c r="I28" s="25"/>
      <c r="J28" s="11"/>
      <c r="K28" s="11"/>
    </row>
    <row r="29" spans="1:12" s="34" customFormat="1" x14ac:dyDescent="0.3">
      <c r="A29" t="s">
        <v>108</v>
      </c>
      <c r="B29" t="s">
        <v>109</v>
      </c>
      <c r="C29" t="s">
        <v>16</v>
      </c>
      <c r="D29" s="67">
        <v>1</v>
      </c>
      <c r="E29" s="24">
        <v>45483</v>
      </c>
      <c r="F29" t="s">
        <v>143</v>
      </c>
      <c r="G29" s="44" t="s">
        <v>143</v>
      </c>
      <c r="H29" s="11"/>
      <c r="I29" s="11"/>
      <c r="J29" s="11"/>
      <c r="K29" s="11"/>
      <c r="L29"/>
    </row>
    <row r="30" spans="1:12" x14ac:dyDescent="0.3">
      <c r="A30" t="s">
        <v>144</v>
      </c>
      <c r="B30" t="s">
        <v>116</v>
      </c>
      <c r="C30" t="s">
        <v>117</v>
      </c>
      <c r="D30" s="67">
        <v>2</v>
      </c>
      <c r="E30" s="24">
        <v>45483</v>
      </c>
      <c r="F30" t="s">
        <v>122</v>
      </c>
      <c r="G30" s="45" t="s">
        <v>145</v>
      </c>
      <c r="H30" s="11"/>
      <c r="I30" s="11"/>
      <c r="J30" s="11"/>
      <c r="K30" s="11"/>
    </row>
    <row r="31" spans="1:12" x14ac:dyDescent="0.3">
      <c r="A31" t="s">
        <v>146</v>
      </c>
      <c r="B31" t="s">
        <v>116</v>
      </c>
      <c r="C31" t="s">
        <v>117</v>
      </c>
      <c r="D31" s="67">
        <v>2</v>
      </c>
      <c r="E31" s="24">
        <v>45483</v>
      </c>
      <c r="F31" t="s">
        <v>122</v>
      </c>
      <c r="G31" s="45" t="s">
        <v>145</v>
      </c>
      <c r="H31" s="11"/>
      <c r="I31" s="11"/>
      <c r="J31" s="11"/>
      <c r="K31" s="11"/>
    </row>
    <row r="32" spans="1:12" x14ac:dyDescent="0.3">
      <c r="A32" s="39" t="s">
        <v>147</v>
      </c>
      <c r="B32" s="34" t="s">
        <v>148</v>
      </c>
      <c r="C32" s="34" t="s">
        <v>149</v>
      </c>
      <c r="D32" s="69">
        <v>4</v>
      </c>
      <c r="E32" s="24">
        <v>45488</v>
      </c>
      <c r="F32" t="s">
        <v>110</v>
      </c>
      <c r="G32" t="s">
        <v>110</v>
      </c>
      <c r="H32" s="37"/>
      <c r="I32" s="37"/>
      <c r="J32" s="37"/>
      <c r="K32" s="37"/>
      <c r="L32" s="34"/>
    </row>
    <row r="33" spans="1:7" x14ac:dyDescent="0.3">
      <c r="A33" t="s">
        <v>150</v>
      </c>
      <c r="B33" t="s">
        <v>151</v>
      </c>
      <c r="C33" t="s">
        <v>38</v>
      </c>
      <c r="D33" s="67">
        <v>1</v>
      </c>
      <c r="E33" s="24">
        <v>45532</v>
      </c>
      <c r="F33" s="42" t="s">
        <v>152</v>
      </c>
      <c r="G33" s="41" t="s">
        <v>152</v>
      </c>
    </row>
    <row r="34" spans="1:7" x14ac:dyDescent="0.3">
      <c r="A34" t="s">
        <v>153</v>
      </c>
      <c r="B34" t="s">
        <v>116</v>
      </c>
      <c r="C34" t="s">
        <v>117</v>
      </c>
      <c r="D34" s="67">
        <v>1</v>
      </c>
      <c r="E34" s="24">
        <v>45551</v>
      </c>
      <c r="F34" t="s">
        <v>110</v>
      </c>
      <c r="G34" t="s">
        <v>110</v>
      </c>
    </row>
    <row r="35" spans="1:7" x14ac:dyDescent="0.3">
      <c r="A35" t="s">
        <v>154</v>
      </c>
      <c r="B35" t="s">
        <v>116</v>
      </c>
      <c r="C35" t="s">
        <v>117</v>
      </c>
      <c r="D35" s="67">
        <v>3</v>
      </c>
      <c r="E35" s="24">
        <v>45551</v>
      </c>
      <c r="F35" t="s">
        <v>110</v>
      </c>
      <c r="G35" t="s">
        <v>110</v>
      </c>
    </row>
    <row r="36" spans="1:7" x14ac:dyDescent="0.3">
      <c r="A36" t="s">
        <v>108</v>
      </c>
      <c r="B36" t="s">
        <v>109</v>
      </c>
      <c r="C36" t="s">
        <v>16</v>
      </c>
      <c r="D36" s="67">
        <v>1</v>
      </c>
      <c r="E36" s="24">
        <v>45553</v>
      </c>
      <c r="F36" t="s">
        <v>122</v>
      </c>
      <c r="G36" s="44" t="s">
        <v>143</v>
      </c>
    </row>
    <row r="37" spans="1:7" x14ac:dyDescent="0.3">
      <c r="A37" t="s">
        <v>106</v>
      </c>
      <c r="B37" t="s">
        <v>107</v>
      </c>
      <c r="C37" s="31" t="s">
        <v>9</v>
      </c>
      <c r="D37" s="67">
        <v>1</v>
      </c>
      <c r="E37" s="24">
        <v>45556</v>
      </c>
      <c r="F37" t="s">
        <v>122</v>
      </c>
      <c r="G37" s="60" t="s">
        <v>155</v>
      </c>
    </row>
    <row r="38" spans="1:7" x14ac:dyDescent="0.3">
      <c r="A38" t="s">
        <v>156</v>
      </c>
      <c r="B38" t="s">
        <v>35</v>
      </c>
      <c r="C38" t="s">
        <v>34</v>
      </c>
      <c r="D38" s="67">
        <v>1</v>
      </c>
      <c r="E38" s="24">
        <v>45561</v>
      </c>
      <c r="F38" t="s">
        <v>110</v>
      </c>
      <c r="G38" t="s">
        <v>110</v>
      </c>
    </row>
    <row r="39" spans="1:7" x14ac:dyDescent="0.3">
      <c r="A39" t="s">
        <v>157</v>
      </c>
      <c r="B39" t="s">
        <v>112</v>
      </c>
      <c r="C39" s="31" t="s">
        <v>9</v>
      </c>
      <c r="D39" s="67">
        <v>3</v>
      </c>
      <c r="E39" s="24">
        <v>45561</v>
      </c>
      <c r="F39" s="42" t="s">
        <v>152</v>
      </c>
      <c r="G39" s="41" t="s">
        <v>152</v>
      </c>
    </row>
    <row r="40" spans="1:7" x14ac:dyDescent="0.3">
      <c r="A40" t="s">
        <v>158</v>
      </c>
      <c r="B40" t="s">
        <v>159</v>
      </c>
      <c r="C40" s="31" t="s">
        <v>9</v>
      </c>
      <c r="D40" s="67">
        <v>1</v>
      </c>
      <c r="E40" s="24">
        <v>45561</v>
      </c>
      <c r="F40" s="42" t="s">
        <v>152</v>
      </c>
      <c r="G40" s="41" t="s">
        <v>152</v>
      </c>
    </row>
    <row r="41" spans="1:7" x14ac:dyDescent="0.3">
      <c r="A41" t="s">
        <v>108</v>
      </c>
      <c r="B41" t="s">
        <v>109</v>
      </c>
      <c r="C41" t="s">
        <v>16</v>
      </c>
      <c r="D41" s="67">
        <v>1</v>
      </c>
      <c r="E41" s="24">
        <v>45566</v>
      </c>
      <c r="F41" t="s">
        <v>160</v>
      </c>
      <c r="G41" s="64" t="s">
        <v>160</v>
      </c>
    </row>
    <row r="42" spans="1:7" x14ac:dyDescent="0.3">
      <c r="A42" t="s">
        <v>106</v>
      </c>
      <c r="B42" t="s">
        <v>107</v>
      </c>
      <c r="C42" s="31" t="s">
        <v>9</v>
      </c>
      <c r="D42" s="67">
        <v>1</v>
      </c>
      <c r="E42" s="24">
        <v>45566</v>
      </c>
      <c r="F42" t="s">
        <v>11</v>
      </c>
      <c r="G42" s="62" t="s">
        <v>11</v>
      </c>
    </row>
    <row r="43" spans="1:7" x14ac:dyDescent="0.3">
      <c r="A43" t="s">
        <v>161</v>
      </c>
      <c r="B43" t="s">
        <v>162</v>
      </c>
      <c r="C43" t="s">
        <v>16</v>
      </c>
      <c r="D43" s="67">
        <v>1</v>
      </c>
      <c r="E43" s="24">
        <v>45575</v>
      </c>
      <c r="F43" t="s">
        <v>160</v>
      </c>
      <c r="G43" s="64" t="s">
        <v>160</v>
      </c>
    </row>
    <row r="44" spans="1:7" x14ac:dyDescent="0.3">
      <c r="A44" t="s">
        <v>130</v>
      </c>
      <c r="B44" t="s">
        <v>116</v>
      </c>
      <c r="C44" t="s">
        <v>117</v>
      </c>
      <c r="D44" s="67">
        <v>2</v>
      </c>
      <c r="E44" s="24">
        <v>45576</v>
      </c>
      <c r="F44" t="s">
        <v>110</v>
      </c>
      <c r="G44" t="s">
        <v>110</v>
      </c>
    </row>
    <row r="45" spans="1:7" x14ac:dyDescent="0.3">
      <c r="A45" t="s">
        <v>131</v>
      </c>
      <c r="B45" t="s">
        <v>116</v>
      </c>
      <c r="C45" t="s">
        <v>117</v>
      </c>
      <c r="D45" s="67">
        <v>6</v>
      </c>
      <c r="E45" s="24">
        <v>45576</v>
      </c>
      <c r="F45" t="s">
        <v>110</v>
      </c>
      <c r="G45" t="s">
        <v>110</v>
      </c>
    </row>
    <row r="46" spans="1:7" x14ac:dyDescent="0.3">
      <c r="A46" t="s">
        <v>163</v>
      </c>
      <c r="B46" t="s">
        <v>112</v>
      </c>
      <c r="C46" s="31" t="s">
        <v>9</v>
      </c>
      <c r="D46" s="67">
        <v>1</v>
      </c>
      <c r="E46" s="24">
        <v>45576</v>
      </c>
      <c r="F46" t="s">
        <v>110</v>
      </c>
      <c r="G46" t="s">
        <v>110</v>
      </c>
    </row>
    <row r="47" spans="1:7" x14ac:dyDescent="0.3">
      <c r="A47" t="s">
        <v>164</v>
      </c>
      <c r="B47" t="s">
        <v>165</v>
      </c>
      <c r="C47" s="31" t="s">
        <v>9</v>
      </c>
      <c r="D47" s="67">
        <v>2</v>
      </c>
      <c r="E47" s="24">
        <v>45576</v>
      </c>
      <c r="F47" t="s">
        <v>11</v>
      </c>
      <c r="G47" s="62" t="s">
        <v>11</v>
      </c>
    </row>
    <row r="48" spans="1:7" x14ac:dyDescent="0.3">
      <c r="A48" t="s">
        <v>106</v>
      </c>
      <c r="B48" t="s">
        <v>107</v>
      </c>
      <c r="C48" s="31" t="s">
        <v>9</v>
      </c>
      <c r="D48" s="67">
        <v>1</v>
      </c>
      <c r="E48" s="24">
        <v>45576</v>
      </c>
      <c r="F48" t="s">
        <v>166</v>
      </c>
      <c r="G48" s="49" t="s">
        <v>166</v>
      </c>
    </row>
    <row r="49" spans="1:9" x14ac:dyDescent="0.3">
      <c r="A49" t="s">
        <v>167</v>
      </c>
      <c r="B49" t="s">
        <v>116</v>
      </c>
      <c r="C49" t="s">
        <v>117</v>
      </c>
      <c r="D49" s="67">
        <v>2</v>
      </c>
      <c r="E49" s="24">
        <v>45579</v>
      </c>
      <c r="F49" t="s">
        <v>11</v>
      </c>
      <c r="G49" s="62" t="s">
        <v>11</v>
      </c>
    </row>
    <row r="50" spans="1:9" x14ac:dyDescent="0.3">
      <c r="A50" t="s">
        <v>168</v>
      </c>
      <c r="B50" t="s">
        <v>151</v>
      </c>
      <c r="C50" t="s">
        <v>38</v>
      </c>
      <c r="D50" s="67">
        <v>1</v>
      </c>
      <c r="E50" s="24">
        <v>45580</v>
      </c>
      <c r="F50" t="s">
        <v>110</v>
      </c>
      <c r="G50" s="40" t="s">
        <v>110</v>
      </c>
      <c r="H50" s="40"/>
      <c r="I50" s="40"/>
    </row>
    <row r="51" spans="1:9" x14ac:dyDescent="0.3">
      <c r="A51" t="s">
        <v>169</v>
      </c>
      <c r="B51" t="s">
        <v>116</v>
      </c>
      <c r="C51" t="s">
        <v>117</v>
      </c>
      <c r="D51" s="67">
        <v>1</v>
      </c>
      <c r="E51" s="24">
        <v>45583</v>
      </c>
      <c r="F51" t="s">
        <v>110</v>
      </c>
      <c r="G51" t="s">
        <v>110</v>
      </c>
    </row>
    <row r="52" spans="1:9" x14ac:dyDescent="0.3">
      <c r="A52" t="s">
        <v>170</v>
      </c>
      <c r="B52" t="s">
        <v>165</v>
      </c>
      <c r="C52" s="31" t="s">
        <v>9</v>
      </c>
      <c r="D52" s="67">
        <v>1</v>
      </c>
      <c r="E52" s="24">
        <v>45588</v>
      </c>
      <c r="F52" t="s">
        <v>11</v>
      </c>
      <c r="G52" s="62" t="s">
        <v>11</v>
      </c>
    </row>
    <row r="53" spans="1:9" x14ac:dyDescent="0.3">
      <c r="A53" t="s">
        <v>171</v>
      </c>
      <c r="B53" t="s">
        <v>39</v>
      </c>
      <c r="C53" t="s">
        <v>38</v>
      </c>
      <c r="D53" s="67">
        <v>1</v>
      </c>
      <c r="E53" s="24">
        <v>45596</v>
      </c>
      <c r="F53" s="31" t="s">
        <v>23</v>
      </c>
      <c r="G53" s="51" t="s">
        <v>23</v>
      </c>
    </row>
    <row r="54" spans="1:9" x14ac:dyDescent="0.3">
      <c r="A54" t="s">
        <v>106</v>
      </c>
      <c r="B54" t="s">
        <v>107</v>
      </c>
      <c r="C54" s="31" t="s">
        <v>9</v>
      </c>
      <c r="D54" s="67">
        <v>1</v>
      </c>
      <c r="E54" s="24">
        <v>45611</v>
      </c>
      <c r="F54" t="s">
        <v>137</v>
      </c>
      <c r="G54" s="59" t="s">
        <v>137</v>
      </c>
    </row>
    <row r="55" spans="1:9" x14ac:dyDescent="0.3">
      <c r="A55" t="s">
        <v>172</v>
      </c>
      <c r="B55" t="s">
        <v>116</v>
      </c>
      <c r="C55" t="s">
        <v>117</v>
      </c>
      <c r="D55" s="67">
        <v>3</v>
      </c>
      <c r="E55" s="24">
        <v>45614</v>
      </c>
      <c r="F55" t="s">
        <v>110</v>
      </c>
      <c r="G55" t="s">
        <v>110</v>
      </c>
    </row>
    <row r="56" spans="1:9" x14ac:dyDescent="0.3">
      <c r="A56" t="s">
        <v>153</v>
      </c>
      <c r="B56" t="s">
        <v>116</v>
      </c>
      <c r="C56" t="s">
        <v>117</v>
      </c>
      <c r="D56" s="67">
        <v>1</v>
      </c>
      <c r="E56" s="24">
        <v>45614</v>
      </c>
      <c r="F56" t="s">
        <v>110</v>
      </c>
      <c r="G56" t="s">
        <v>110</v>
      </c>
    </row>
    <row r="57" spans="1:9" x14ac:dyDescent="0.3">
      <c r="A57" t="s">
        <v>173</v>
      </c>
      <c r="B57" t="s">
        <v>112</v>
      </c>
      <c r="C57" s="31" t="s">
        <v>9</v>
      </c>
      <c r="D57" s="67">
        <v>1</v>
      </c>
      <c r="E57" s="24">
        <v>45616</v>
      </c>
      <c r="F57" t="s">
        <v>110</v>
      </c>
      <c r="G57" t="s">
        <v>110</v>
      </c>
    </row>
    <row r="58" spans="1:9" x14ac:dyDescent="0.3">
      <c r="A58" t="s">
        <v>174</v>
      </c>
      <c r="B58" t="s">
        <v>112</v>
      </c>
      <c r="C58" s="31" t="s">
        <v>9</v>
      </c>
      <c r="D58" s="67">
        <v>1</v>
      </c>
      <c r="E58" s="24">
        <v>45616</v>
      </c>
      <c r="F58" t="s">
        <v>110</v>
      </c>
      <c r="G58" t="s">
        <v>110</v>
      </c>
    </row>
    <row r="59" spans="1:9" x14ac:dyDescent="0.3">
      <c r="A59" t="s">
        <v>175</v>
      </c>
      <c r="B59" t="s">
        <v>119</v>
      </c>
      <c r="C59" t="s">
        <v>120</v>
      </c>
      <c r="D59" s="67">
        <v>2</v>
      </c>
      <c r="E59" s="24">
        <v>45618</v>
      </c>
      <c r="F59" t="s">
        <v>110</v>
      </c>
      <c r="G59" t="s">
        <v>110</v>
      </c>
    </row>
    <row r="60" spans="1:9" x14ac:dyDescent="0.3">
      <c r="A60" t="s">
        <v>176</v>
      </c>
      <c r="B60" t="s">
        <v>44</v>
      </c>
      <c r="C60" t="s">
        <v>43</v>
      </c>
      <c r="D60" s="67">
        <v>9</v>
      </c>
      <c r="E60" s="24">
        <v>45623</v>
      </c>
      <c r="F60" t="s">
        <v>110</v>
      </c>
      <c r="G60" t="s">
        <v>110</v>
      </c>
    </row>
    <row r="61" spans="1:9" x14ac:dyDescent="0.3">
      <c r="A61" t="s">
        <v>177</v>
      </c>
      <c r="B61" t="s">
        <v>44</v>
      </c>
      <c r="C61" t="s">
        <v>43</v>
      </c>
      <c r="D61" s="67">
        <v>1</v>
      </c>
      <c r="E61" s="24">
        <v>45623</v>
      </c>
      <c r="F61" t="s">
        <v>110</v>
      </c>
      <c r="G61" t="s">
        <v>110</v>
      </c>
    </row>
    <row r="62" spans="1:9" x14ac:dyDescent="0.3">
      <c r="A62" t="s">
        <v>178</v>
      </c>
      <c r="B62" t="s">
        <v>179</v>
      </c>
      <c r="C62" t="s">
        <v>43</v>
      </c>
      <c r="D62" s="67">
        <v>9</v>
      </c>
      <c r="E62" s="24">
        <v>45623</v>
      </c>
      <c r="F62" t="s">
        <v>110</v>
      </c>
      <c r="G62" t="s">
        <v>110</v>
      </c>
    </row>
    <row r="63" spans="1:9" x14ac:dyDescent="0.3">
      <c r="A63" t="s">
        <v>180</v>
      </c>
      <c r="B63" t="s">
        <v>181</v>
      </c>
      <c r="C63" t="s">
        <v>43</v>
      </c>
      <c r="D63" s="67">
        <v>1</v>
      </c>
      <c r="E63" s="24">
        <v>45623</v>
      </c>
      <c r="F63" t="s">
        <v>110</v>
      </c>
      <c r="G63" t="s">
        <v>110</v>
      </c>
    </row>
    <row r="64" spans="1:9" x14ac:dyDescent="0.3">
      <c r="A64" t="s">
        <v>182</v>
      </c>
      <c r="B64" t="s">
        <v>183</v>
      </c>
      <c r="C64" t="s">
        <v>43</v>
      </c>
      <c r="D64" s="67">
        <v>4</v>
      </c>
      <c r="E64" s="24">
        <v>45623</v>
      </c>
      <c r="F64" t="s">
        <v>110</v>
      </c>
      <c r="G64" t="s">
        <v>110</v>
      </c>
    </row>
    <row r="65" spans="1:7" x14ac:dyDescent="0.3">
      <c r="A65" t="s">
        <v>184</v>
      </c>
      <c r="B65" t="s">
        <v>185</v>
      </c>
      <c r="C65" t="s">
        <v>43</v>
      </c>
      <c r="D65" s="67">
        <v>2</v>
      </c>
      <c r="E65" s="24">
        <v>45623</v>
      </c>
      <c r="F65" t="s">
        <v>110</v>
      </c>
      <c r="G65" t="s">
        <v>110</v>
      </c>
    </row>
    <row r="66" spans="1:7" x14ac:dyDescent="0.3">
      <c r="A66" t="s">
        <v>186</v>
      </c>
      <c r="B66" t="s">
        <v>39</v>
      </c>
      <c r="C66" t="s">
        <v>38</v>
      </c>
      <c r="D66" s="67">
        <v>3</v>
      </c>
      <c r="E66" s="24">
        <v>45623</v>
      </c>
      <c r="F66" t="s">
        <v>110</v>
      </c>
      <c r="G66" t="s">
        <v>110</v>
      </c>
    </row>
    <row r="67" spans="1:7" x14ac:dyDescent="0.3">
      <c r="A67" t="s">
        <v>187</v>
      </c>
      <c r="B67" t="s">
        <v>179</v>
      </c>
      <c r="C67" t="s">
        <v>43</v>
      </c>
      <c r="D67" s="67">
        <v>1</v>
      </c>
      <c r="E67" s="24">
        <v>45623</v>
      </c>
      <c r="F67" t="s">
        <v>110</v>
      </c>
      <c r="G67" t="s">
        <v>110</v>
      </c>
    </row>
    <row r="68" spans="1:7" x14ac:dyDescent="0.3">
      <c r="A68" t="s">
        <v>188</v>
      </c>
      <c r="B68" t="s">
        <v>116</v>
      </c>
      <c r="C68" t="s">
        <v>117</v>
      </c>
      <c r="D68" s="67">
        <v>8</v>
      </c>
      <c r="E68" s="24">
        <v>45630</v>
      </c>
      <c r="F68" t="s">
        <v>110</v>
      </c>
      <c r="G68" t="s">
        <v>110</v>
      </c>
    </row>
    <row r="69" spans="1:7" x14ac:dyDescent="0.3">
      <c r="A69" t="s">
        <v>189</v>
      </c>
      <c r="B69" t="s">
        <v>88</v>
      </c>
      <c r="C69" t="s">
        <v>16</v>
      </c>
      <c r="D69" s="67">
        <v>1</v>
      </c>
      <c r="E69" s="24">
        <v>45631</v>
      </c>
      <c r="F69" t="s">
        <v>190</v>
      </c>
      <c r="G69" s="61" t="s">
        <v>190</v>
      </c>
    </row>
    <row r="70" spans="1:7" x14ac:dyDescent="0.3">
      <c r="A70" t="s">
        <v>191</v>
      </c>
      <c r="B70" t="s">
        <v>88</v>
      </c>
      <c r="C70" t="s">
        <v>16</v>
      </c>
      <c r="D70" s="67">
        <v>1</v>
      </c>
      <c r="E70" s="24">
        <v>45631</v>
      </c>
      <c r="F70" t="s">
        <v>190</v>
      </c>
      <c r="G70" s="61" t="s">
        <v>190</v>
      </c>
    </row>
    <row r="71" spans="1:7" x14ac:dyDescent="0.3">
      <c r="A71" t="s">
        <v>192</v>
      </c>
      <c r="B71" t="s">
        <v>88</v>
      </c>
      <c r="C71" t="s">
        <v>16</v>
      </c>
      <c r="D71" s="67">
        <v>1</v>
      </c>
      <c r="E71" s="24">
        <v>45636</v>
      </c>
      <c r="F71" t="s">
        <v>122</v>
      </c>
      <c r="G71" s="50" t="s">
        <v>193</v>
      </c>
    </row>
  </sheetData>
  <autoFilter ref="A1:L71" xr:uid="{E2C3F002-02A6-45E5-8378-7833D6274957}">
    <sortState ref="A2:L71">
      <sortCondition ref="E1:E69"/>
    </sortState>
  </autoFilter>
  <dataValidations count="1">
    <dataValidation type="list" allowBlank="1" showInputMessage="1" showErrorMessage="1" sqref="K66" xr:uid="{F20710DD-A92D-497C-8BC1-C9B94E885563}">
      <formula1>"YES, NO"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92D8-577A-47DC-B219-FC8343D57351}">
  <sheetPr filterMode="1">
    <tabColor theme="4" tint="0.59999389629810485"/>
  </sheetPr>
  <dimension ref="A1:G15"/>
  <sheetViews>
    <sheetView workbookViewId="0">
      <selection activeCell="G19" sqref="G19"/>
    </sheetView>
  </sheetViews>
  <sheetFormatPr defaultRowHeight="14.4" x14ac:dyDescent="0.3"/>
  <cols>
    <col min="1" max="1" width="35.5546875" customWidth="1"/>
    <col min="2" max="2" width="16" bestFit="1" customWidth="1"/>
    <col min="3" max="3" width="16.6640625" bestFit="1" customWidth="1"/>
    <col min="4" max="4" width="10.109375" bestFit="1" customWidth="1"/>
    <col min="5" max="5" width="14.88671875" customWidth="1"/>
    <col min="6" max="6" width="32.6640625" customWidth="1"/>
    <col min="7" max="7" width="26.6640625" bestFit="1" customWidth="1"/>
  </cols>
  <sheetData>
    <row r="1" spans="1:7" x14ac:dyDescent="0.3">
      <c r="A1" s="8" t="s">
        <v>0</v>
      </c>
      <c r="B1" s="8" t="s">
        <v>2</v>
      </c>
      <c r="C1" s="8" t="s">
        <v>1</v>
      </c>
      <c r="D1" s="8" t="s">
        <v>3</v>
      </c>
      <c r="E1" s="8" t="s">
        <v>4</v>
      </c>
      <c r="F1" s="8" t="s">
        <v>99</v>
      </c>
      <c r="G1" s="8" t="s">
        <v>5</v>
      </c>
    </row>
    <row r="2" spans="1:7" hidden="1" x14ac:dyDescent="0.3">
      <c r="A2" s="1" t="s">
        <v>194</v>
      </c>
      <c r="B2" s="30" t="s">
        <v>195</v>
      </c>
      <c r="C2" s="2" t="s">
        <v>196</v>
      </c>
      <c r="D2" s="2">
        <v>1</v>
      </c>
      <c r="E2" s="36">
        <v>45366</v>
      </c>
      <c r="F2" s="31" t="s">
        <v>125</v>
      </c>
      <c r="G2" s="56" t="s">
        <v>125</v>
      </c>
    </row>
    <row r="3" spans="1:7" hidden="1" x14ac:dyDescent="0.3">
      <c r="A3" s="1" t="s">
        <v>197</v>
      </c>
      <c r="B3" s="30" t="s">
        <v>195</v>
      </c>
      <c r="C3" s="2" t="s">
        <v>196</v>
      </c>
      <c r="D3" s="2">
        <v>5</v>
      </c>
      <c r="E3" s="36">
        <v>45371</v>
      </c>
      <c r="F3" s="52" t="s">
        <v>23</v>
      </c>
      <c r="G3" s="51" t="s">
        <v>23</v>
      </c>
    </row>
    <row r="4" spans="1:7" hidden="1" x14ac:dyDescent="0.3">
      <c r="A4" s="1" t="s">
        <v>198</v>
      </c>
      <c r="B4" s="30" t="s">
        <v>199</v>
      </c>
      <c r="C4" s="2" t="s">
        <v>196</v>
      </c>
      <c r="D4" s="2">
        <v>7</v>
      </c>
      <c r="E4" s="36">
        <v>45371</v>
      </c>
      <c r="F4" s="52" t="s">
        <v>23</v>
      </c>
      <c r="G4" s="51" t="s">
        <v>23</v>
      </c>
    </row>
    <row r="5" spans="1:7" hidden="1" x14ac:dyDescent="0.3">
      <c r="A5" t="s">
        <v>200</v>
      </c>
      <c r="B5" s="30" t="s">
        <v>195</v>
      </c>
      <c r="C5" s="2" t="s">
        <v>196</v>
      </c>
      <c r="D5" s="2">
        <v>1</v>
      </c>
      <c r="E5" s="36">
        <v>45383</v>
      </c>
      <c r="F5" t="s">
        <v>125</v>
      </c>
      <c r="G5" s="57" t="s">
        <v>125</v>
      </c>
    </row>
    <row r="6" spans="1:7" hidden="1" x14ac:dyDescent="0.3">
      <c r="A6" s="1" t="s">
        <v>201</v>
      </c>
      <c r="B6" s="30" t="s">
        <v>195</v>
      </c>
      <c r="C6" s="2" t="s">
        <v>196</v>
      </c>
      <c r="D6" s="2">
        <v>1</v>
      </c>
      <c r="E6" s="36">
        <v>45391</v>
      </c>
      <c r="F6" s="31" t="s">
        <v>41</v>
      </c>
      <c r="G6" s="53" t="s">
        <v>41</v>
      </c>
    </row>
    <row r="7" spans="1:7" hidden="1" x14ac:dyDescent="0.3">
      <c r="A7" t="s">
        <v>194</v>
      </c>
      <c r="B7" t="s">
        <v>195</v>
      </c>
      <c r="C7" t="s">
        <v>196</v>
      </c>
      <c r="D7">
        <v>1</v>
      </c>
      <c r="E7" s="24">
        <v>45391</v>
      </c>
      <c r="F7" t="s">
        <v>41</v>
      </c>
      <c r="G7" s="54" t="s">
        <v>41</v>
      </c>
    </row>
    <row r="8" spans="1:7" hidden="1" x14ac:dyDescent="0.3">
      <c r="A8" t="s">
        <v>202</v>
      </c>
      <c r="B8" t="s">
        <v>195</v>
      </c>
      <c r="C8" t="s">
        <v>196</v>
      </c>
      <c r="D8">
        <v>1</v>
      </c>
      <c r="E8" s="24">
        <v>45420</v>
      </c>
      <c r="F8" t="s">
        <v>125</v>
      </c>
      <c r="G8" s="57" t="s">
        <v>125</v>
      </c>
    </row>
    <row r="9" spans="1:7" hidden="1" x14ac:dyDescent="0.3">
      <c r="A9" t="s">
        <v>203</v>
      </c>
      <c r="B9" t="s">
        <v>199</v>
      </c>
      <c r="C9" t="s">
        <v>196</v>
      </c>
      <c r="D9">
        <v>1</v>
      </c>
      <c r="E9" s="24">
        <v>45428</v>
      </c>
      <c r="F9" s="42" t="s">
        <v>152</v>
      </c>
      <c r="G9" s="41" t="s">
        <v>152</v>
      </c>
    </row>
    <row r="10" spans="1:7" x14ac:dyDescent="0.3">
      <c r="A10" s="32" t="s">
        <v>204</v>
      </c>
      <c r="B10" s="33" t="s">
        <v>199</v>
      </c>
      <c r="C10" s="32" t="s">
        <v>196</v>
      </c>
      <c r="D10" s="34">
        <v>1</v>
      </c>
      <c r="E10" s="35">
        <v>45436</v>
      </c>
      <c r="F10" t="s">
        <v>205</v>
      </c>
      <c r="G10" s="63" t="s">
        <v>205</v>
      </c>
    </row>
    <row r="11" spans="1:7" hidden="1" x14ac:dyDescent="0.3">
      <c r="A11" t="s">
        <v>206</v>
      </c>
      <c r="B11" s="31" t="s">
        <v>195</v>
      </c>
      <c r="C11" s="31" t="s">
        <v>196</v>
      </c>
      <c r="D11" s="31">
        <v>1</v>
      </c>
      <c r="E11" s="24">
        <v>45467</v>
      </c>
      <c r="F11" t="s">
        <v>127</v>
      </c>
      <c r="G11" s="55" t="s">
        <v>127</v>
      </c>
    </row>
    <row r="12" spans="1:7" x14ac:dyDescent="0.3">
      <c r="A12" t="s">
        <v>207</v>
      </c>
      <c r="B12" s="31" t="s">
        <v>195</v>
      </c>
      <c r="C12" s="31" t="s">
        <v>196</v>
      </c>
      <c r="D12" s="31">
        <v>1</v>
      </c>
      <c r="E12" s="24">
        <v>45537</v>
      </c>
      <c r="F12" t="s">
        <v>205</v>
      </c>
      <c r="G12" s="63" t="s">
        <v>205</v>
      </c>
    </row>
    <row r="13" spans="1:7" hidden="1" x14ac:dyDescent="0.3">
      <c r="A13" t="s">
        <v>208</v>
      </c>
      <c r="B13" t="s">
        <v>195</v>
      </c>
      <c r="C13" t="s">
        <v>196</v>
      </c>
      <c r="D13">
        <v>1</v>
      </c>
      <c r="E13" s="24">
        <v>45561</v>
      </c>
      <c r="F13" s="42" t="s">
        <v>152</v>
      </c>
      <c r="G13" s="41" t="s">
        <v>152</v>
      </c>
    </row>
    <row r="14" spans="1:7" hidden="1" x14ac:dyDescent="0.3">
      <c r="A14" t="s">
        <v>194</v>
      </c>
      <c r="B14" t="s">
        <v>195</v>
      </c>
      <c r="C14" t="s">
        <v>196</v>
      </c>
      <c r="D14">
        <v>1</v>
      </c>
      <c r="E14" s="24">
        <v>45614</v>
      </c>
      <c r="F14" t="s">
        <v>126</v>
      </c>
      <c r="G14" s="46" t="s">
        <v>209</v>
      </c>
    </row>
    <row r="15" spans="1:7" x14ac:dyDescent="0.3">
      <c r="A15" t="s">
        <v>210</v>
      </c>
      <c r="B15" t="s">
        <v>195</v>
      </c>
      <c r="C15" t="s">
        <v>196</v>
      </c>
      <c r="D15">
        <v>1</v>
      </c>
      <c r="E15" s="24">
        <v>45317</v>
      </c>
      <c r="F15" t="s">
        <v>205</v>
      </c>
      <c r="G15" t="s">
        <v>205</v>
      </c>
    </row>
  </sheetData>
  <autoFilter ref="A1:G14" xr:uid="{085EE6F9-7D74-4141-8490-6B0B8FD5465D}">
    <filterColumn colId="6">
      <filters>
        <filter val="Embassy of Namibia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9971-6B38-4678-97E3-1CA001C876DD}">
  <sheetPr>
    <tabColor rgb="FFB37CEB"/>
  </sheetPr>
  <dimension ref="A1:K144"/>
  <sheetViews>
    <sheetView workbookViewId="0">
      <pane ySplit="1" topLeftCell="A54" activePane="bottomLeft" state="frozen"/>
      <selection pane="bottomLeft" activeCell="E59" sqref="E59"/>
    </sheetView>
  </sheetViews>
  <sheetFormatPr defaultColWidth="9.109375" defaultRowHeight="14.4" x14ac:dyDescent="0.3"/>
  <cols>
    <col min="1" max="1" width="9.88671875" style="75" bestFit="1" customWidth="1"/>
    <col min="2" max="2" width="36.5546875" style="75" bestFit="1" customWidth="1"/>
    <col min="3" max="3" width="22" style="75" bestFit="1" customWidth="1"/>
    <col min="4" max="4" width="36.5546875" style="75" bestFit="1" customWidth="1"/>
    <col min="5" max="5" width="22.33203125" style="75" customWidth="1"/>
    <col min="6" max="6" width="12" style="75" bestFit="1" customWidth="1"/>
    <col min="7" max="7" width="18.88671875" style="75" customWidth="1"/>
    <col min="8" max="8" width="18.44140625" style="75" customWidth="1"/>
    <col min="9" max="9" width="14" style="75" customWidth="1"/>
    <col min="10" max="10" width="13.88671875" style="75" customWidth="1"/>
    <col min="11" max="11" width="18.88671875" style="75" bestFit="1" customWidth="1"/>
    <col min="12" max="16384" width="9.109375" style="75"/>
  </cols>
  <sheetData>
    <row r="1" spans="1:11" s="73" customFormat="1" x14ac:dyDescent="0.3">
      <c r="A1" s="73" t="s">
        <v>211</v>
      </c>
      <c r="B1" s="74" t="s">
        <v>99</v>
      </c>
      <c r="C1" s="73" t="s">
        <v>212</v>
      </c>
      <c r="D1" s="74" t="s">
        <v>213</v>
      </c>
      <c r="E1" s="73" t="s">
        <v>94</v>
      </c>
      <c r="F1" s="73" t="s">
        <v>214</v>
      </c>
      <c r="G1" s="73" t="s">
        <v>215</v>
      </c>
      <c r="H1" s="73" t="s">
        <v>216</v>
      </c>
      <c r="I1" s="73" t="s">
        <v>217</v>
      </c>
      <c r="J1" s="73" t="s">
        <v>218</v>
      </c>
      <c r="K1" s="73" t="s">
        <v>219</v>
      </c>
    </row>
    <row r="2" spans="1:11" x14ac:dyDescent="0.3">
      <c r="A2" s="75">
        <v>1935</v>
      </c>
      <c r="B2" s="76" t="s">
        <v>136</v>
      </c>
      <c r="C2" s="75" t="s">
        <v>220</v>
      </c>
      <c r="D2" s="76" t="s">
        <v>221</v>
      </c>
      <c r="E2" s="75" t="s">
        <v>222</v>
      </c>
      <c r="F2" s="75" t="s">
        <v>223</v>
      </c>
      <c r="G2" s="77">
        <v>45300.700694444444</v>
      </c>
      <c r="H2" s="77">
        <v>45302.691666666666</v>
      </c>
      <c r="I2" s="78">
        <v>0</v>
      </c>
      <c r="J2" s="78">
        <v>4.8611111111111112E-3</v>
      </c>
      <c r="K2" s="75" t="s">
        <v>224</v>
      </c>
    </row>
    <row r="3" spans="1:11" x14ac:dyDescent="0.3">
      <c r="A3" s="75">
        <v>1941</v>
      </c>
      <c r="B3" s="76" t="s">
        <v>30</v>
      </c>
      <c r="C3" s="75" t="s">
        <v>30</v>
      </c>
      <c r="D3" s="76" t="s">
        <v>225</v>
      </c>
      <c r="E3" s="75" t="s">
        <v>222</v>
      </c>
      <c r="F3" s="75" t="s">
        <v>223</v>
      </c>
      <c r="G3" s="77">
        <v>45301.496527777781</v>
      </c>
      <c r="H3" s="77">
        <v>45303.554861111108</v>
      </c>
      <c r="I3" s="79">
        <v>2.0586342592592595</v>
      </c>
      <c r="J3" s="78">
        <v>9.0277777777777769E-3</v>
      </c>
      <c r="K3" s="75" t="s">
        <v>224</v>
      </c>
    </row>
    <row r="4" spans="1:11" x14ac:dyDescent="0.3">
      <c r="A4" s="75">
        <v>1965</v>
      </c>
      <c r="B4" s="76" t="s">
        <v>226</v>
      </c>
      <c r="C4" s="75" t="s">
        <v>227</v>
      </c>
      <c r="D4" s="76" t="s">
        <v>228</v>
      </c>
      <c r="E4" s="75" t="s">
        <v>222</v>
      </c>
      <c r="F4" s="75" t="s">
        <v>223</v>
      </c>
      <c r="G4" s="77">
        <v>45306.474999999999</v>
      </c>
      <c r="H4" s="77">
        <v>45306.503472222219</v>
      </c>
      <c r="I4" s="78">
        <v>2.8298611111111111E-2</v>
      </c>
      <c r="J4" s="78">
        <v>7.6388888888888886E-3</v>
      </c>
      <c r="K4" s="75" t="s">
        <v>224</v>
      </c>
    </row>
    <row r="5" spans="1:11" x14ac:dyDescent="0.3">
      <c r="A5" s="75">
        <v>1966</v>
      </c>
      <c r="B5" s="76" t="s">
        <v>103</v>
      </c>
      <c r="C5" s="75" t="s">
        <v>229</v>
      </c>
      <c r="D5" s="76" t="s">
        <v>228</v>
      </c>
      <c r="E5" s="75" t="s">
        <v>222</v>
      </c>
      <c r="F5" s="75" t="s">
        <v>223</v>
      </c>
      <c r="G5" s="77">
        <v>45306.493750000001</v>
      </c>
      <c r="H5" s="77">
        <v>45306.501388888886</v>
      </c>
      <c r="I5" s="78">
        <v>8.0902777777777778E-3</v>
      </c>
      <c r="J5" s="78">
        <v>5.5555555555555558E-3</v>
      </c>
      <c r="K5" s="75" t="s">
        <v>224</v>
      </c>
    </row>
    <row r="6" spans="1:11" x14ac:dyDescent="0.3">
      <c r="A6" s="75">
        <v>1983</v>
      </c>
      <c r="B6" s="76" t="s">
        <v>62</v>
      </c>
      <c r="C6" s="75" t="s">
        <v>230</v>
      </c>
      <c r="D6" s="76" t="s">
        <v>231</v>
      </c>
      <c r="E6" s="75" t="s">
        <v>222</v>
      </c>
      <c r="F6" s="75" t="s">
        <v>223</v>
      </c>
      <c r="G6" s="77">
        <v>45309.565972222219</v>
      </c>
      <c r="H6" s="77">
        <v>45310.352777777778</v>
      </c>
      <c r="I6" s="78">
        <v>0.78670138888888885</v>
      </c>
      <c r="J6" s="78">
        <v>7.6388888888888886E-3</v>
      </c>
      <c r="K6" s="75" t="s">
        <v>232</v>
      </c>
    </row>
    <row r="7" spans="1:11" x14ac:dyDescent="0.3">
      <c r="A7" s="75">
        <v>1985</v>
      </c>
      <c r="B7" s="76" t="s">
        <v>136</v>
      </c>
      <c r="C7" s="75" t="s">
        <v>233</v>
      </c>
      <c r="D7" s="76" t="s">
        <v>234</v>
      </c>
      <c r="E7" s="75" t="s">
        <v>222</v>
      </c>
      <c r="F7" s="75" t="s">
        <v>223</v>
      </c>
      <c r="G7" s="77">
        <v>45310.597222222219</v>
      </c>
      <c r="H7" s="77">
        <v>45310.598611111112</v>
      </c>
      <c r="I7" s="78">
        <v>1.6666666666666668E-3</v>
      </c>
      <c r="J7" s="78">
        <v>6.9444444444444441E-3</v>
      </c>
      <c r="K7" s="75" t="s">
        <v>232</v>
      </c>
    </row>
    <row r="8" spans="1:11" x14ac:dyDescent="0.3">
      <c r="A8" s="75">
        <v>1986</v>
      </c>
      <c r="B8" s="76" t="s">
        <v>136</v>
      </c>
      <c r="C8" s="75" t="s">
        <v>233</v>
      </c>
      <c r="D8" s="76" t="s">
        <v>234</v>
      </c>
      <c r="E8" s="75" t="s">
        <v>222</v>
      </c>
      <c r="F8" s="75" t="s">
        <v>223</v>
      </c>
      <c r="G8" s="77">
        <v>45310.600694444445</v>
      </c>
      <c r="H8" s="77">
        <v>45310.601388888892</v>
      </c>
      <c r="I8" s="78">
        <v>8.3333333333333339E-4</v>
      </c>
      <c r="J8" s="78">
        <v>7.6388888888888886E-3</v>
      </c>
      <c r="K8" s="75" t="s">
        <v>232</v>
      </c>
    </row>
    <row r="9" spans="1:11" x14ac:dyDescent="0.3">
      <c r="A9" s="75">
        <v>1987</v>
      </c>
      <c r="B9" s="76" t="s">
        <v>110</v>
      </c>
      <c r="C9" s="75" t="s">
        <v>235</v>
      </c>
      <c r="D9" s="76" t="s">
        <v>234</v>
      </c>
      <c r="E9" s="75" t="s">
        <v>236</v>
      </c>
      <c r="F9" s="75" t="s">
        <v>223</v>
      </c>
      <c r="G9" s="77">
        <v>45310.603472222225</v>
      </c>
      <c r="H9" s="77">
        <v>45310.604861111111</v>
      </c>
      <c r="I9" s="78">
        <v>1.8865740740740742E-3</v>
      </c>
      <c r="J9" s="78">
        <v>6.9444444444444441E-3</v>
      </c>
      <c r="K9" s="75" t="s">
        <v>232</v>
      </c>
    </row>
    <row r="10" spans="1:11" x14ac:dyDescent="0.3">
      <c r="A10" s="75">
        <v>1992</v>
      </c>
      <c r="B10" s="76" t="s">
        <v>237</v>
      </c>
      <c r="C10" s="75" t="s">
        <v>238</v>
      </c>
      <c r="D10" s="76" t="s">
        <v>239</v>
      </c>
      <c r="E10" s="75" t="s">
        <v>222</v>
      </c>
      <c r="F10" s="75" t="s">
        <v>223</v>
      </c>
      <c r="G10" s="77">
        <v>45314.637499999997</v>
      </c>
      <c r="H10" s="77">
        <v>45316.63958333333</v>
      </c>
      <c r="I10" s="79">
        <v>2.0017245370370369</v>
      </c>
      <c r="J10" s="78">
        <v>1.1111111111111112E-2</v>
      </c>
      <c r="K10" s="75" t="s">
        <v>224</v>
      </c>
    </row>
    <row r="11" spans="1:11" x14ac:dyDescent="0.3">
      <c r="A11" s="75">
        <v>1994</v>
      </c>
      <c r="B11" s="76" t="s">
        <v>126</v>
      </c>
      <c r="C11" s="75" t="s">
        <v>74</v>
      </c>
      <c r="D11" s="76" t="s">
        <v>240</v>
      </c>
      <c r="E11" s="75" t="s">
        <v>222</v>
      </c>
      <c r="F11" s="75" t="s">
        <v>223</v>
      </c>
      <c r="G11" s="77">
        <v>45315.44027777778</v>
      </c>
      <c r="H11" s="77">
        <v>45315.448611111111</v>
      </c>
      <c r="I11" s="78">
        <v>8.0902777777777778E-3</v>
      </c>
      <c r="J11" s="78">
        <v>4.1666666666666664E-2</v>
      </c>
      <c r="K11" s="75" t="s">
        <v>224</v>
      </c>
    </row>
    <row r="12" spans="1:11" x14ac:dyDescent="0.3">
      <c r="A12" s="75">
        <v>1995</v>
      </c>
      <c r="B12" s="76" t="s">
        <v>126</v>
      </c>
      <c r="C12" s="75" t="s">
        <v>74</v>
      </c>
      <c r="D12" s="76" t="s">
        <v>241</v>
      </c>
      <c r="E12" s="75" t="s">
        <v>222</v>
      </c>
      <c r="F12" s="75" t="s">
        <v>223</v>
      </c>
      <c r="G12" s="77">
        <v>45315.441666666666</v>
      </c>
      <c r="H12" s="77">
        <v>45315.450694444444</v>
      </c>
      <c r="I12" s="78">
        <v>9.1319444444444443E-3</v>
      </c>
      <c r="J12" s="78">
        <v>3.472222222222222E-3</v>
      </c>
      <c r="K12" s="75" t="s">
        <v>224</v>
      </c>
    </row>
    <row r="13" spans="1:11" x14ac:dyDescent="0.3">
      <c r="A13" s="75">
        <v>2031</v>
      </c>
      <c r="B13" s="76" t="s">
        <v>237</v>
      </c>
      <c r="C13" s="75" t="s">
        <v>238</v>
      </c>
      <c r="D13" s="76" t="s">
        <v>242</v>
      </c>
      <c r="E13" s="75" t="s">
        <v>222</v>
      </c>
      <c r="F13" s="75" t="s">
        <v>223</v>
      </c>
      <c r="G13" s="77">
        <v>45322.452777777777</v>
      </c>
      <c r="H13" s="77">
        <v>45334.527083333334</v>
      </c>
      <c r="I13" s="79">
        <v>8.0740625000000001</v>
      </c>
      <c r="J13" s="78">
        <v>9.0277777777777769E-3</v>
      </c>
      <c r="K13" s="75" t="s">
        <v>224</v>
      </c>
    </row>
    <row r="14" spans="1:11" x14ac:dyDescent="0.3">
      <c r="A14" s="75">
        <v>2012</v>
      </c>
      <c r="B14" s="76" t="s">
        <v>23</v>
      </c>
      <c r="C14" s="75" t="s">
        <v>243</v>
      </c>
      <c r="D14" s="76" t="s">
        <v>244</v>
      </c>
      <c r="E14" s="75" t="s">
        <v>222</v>
      </c>
      <c r="F14" s="75" t="s">
        <v>223</v>
      </c>
      <c r="G14" s="77">
        <v>45320.417361111111</v>
      </c>
      <c r="H14" s="77">
        <v>45322.503472222219</v>
      </c>
      <c r="I14" s="79">
        <v>2.0858564814814815</v>
      </c>
      <c r="J14" s="78">
        <v>6.9444444444444441E-3</v>
      </c>
      <c r="K14" s="75" t="s">
        <v>224</v>
      </c>
    </row>
    <row r="15" spans="1:11" x14ac:dyDescent="0.3">
      <c r="A15" s="75">
        <v>2041</v>
      </c>
      <c r="B15" s="76" t="s">
        <v>110</v>
      </c>
      <c r="C15" s="75" t="s">
        <v>245</v>
      </c>
      <c r="D15" s="76" t="s">
        <v>246</v>
      </c>
      <c r="E15" s="75" t="s">
        <v>236</v>
      </c>
      <c r="F15" s="75" t="s">
        <v>247</v>
      </c>
      <c r="G15" s="77">
        <v>45324.413194444445</v>
      </c>
      <c r="H15" s="77">
        <v>45324.414583333331</v>
      </c>
      <c r="I15" s="78">
        <v>1.712962962962963E-3</v>
      </c>
      <c r="J15" s="78">
        <v>1.6666666666666666E-2</v>
      </c>
      <c r="K15" s="75" t="s">
        <v>224</v>
      </c>
    </row>
    <row r="16" spans="1:11" ht="28.8" x14ac:dyDescent="0.3">
      <c r="A16" s="75">
        <v>2055</v>
      </c>
      <c r="B16" s="76" t="s">
        <v>248</v>
      </c>
      <c r="C16" s="75" t="s">
        <v>249</v>
      </c>
      <c r="D16" s="76" t="s">
        <v>250</v>
      </c>
      <c r="E16" s="75" t="s">
        <v>222</v>
      </c>
      <c r="F16" s="75" t="s">
        <v>223</v>
      </c>
      <c r="G16" s="77">
        <v>45329.588888888888</v>
      </c>
      <c r="H16" s="77">
        <v>45329.590277777781</v>
      </c>
      <c r="I16" s="78">
        <v>1.1805555555555556E-3</v>
      </c>
      <c r="J16" s="78">
        <v>6.2500000000000003E-3</v>
      </c>
      <c r="K16" s="75" t="s">
        <v>232</v>
      </c>
    </row>
    <row r="17" spans="1:11" x14ac:dyDescent="0.3">
      <c r="A17" s="75">
        <v>2092</v>
      </c>
      <c r="B17" s="76" t="s">
        <v>248</v>
      </c>
      <c r="C17" s="75" t="s">
        <v>249</v>
      </c>
      <c r="D17" s="76" t="s">
        <v>251</v>
      </c>
      <c r="E17" s="75" t="s">
        <v>222</v>
      </c>
      <c r="F17" s="75" t="s">
        <v>223</v>
      </c>
      <c r="G17" s="77">
        <v>45342.371527777781</v>
      </c>
      <c r="H17" s="77">
        <v>45344.520833333336</v>
      </c>
      <c r="I17" s="79">
        <v>2.1489583333333333</v>
      </c>
      <c r="J17" s="78">
        <v>3.472222222222222E-3</v>
      </c>
      <c r="K17" s="75" t="s">
        <v>232</v>
      </c>
    </row>
    <row r="18" spans="1:11" x14ac:dyDescent="0.3">
      <c r="A18" s="75">
        <v>2094</v>
      </c>
      <c r="B18" s="76" t="s">
        <v>110</v>
      </c>
      <c r="C18" s="75" t="s">
        <v>245</v>
      </c>
      <c r="D18" s="76" t="s">
        <v>252</v>
      </c>
      <c r="E18" s="75" t="s">
        <v>236</v>
      </c>
      <c r="F18" s="75" t="s">
        <v>223</v>
      </c>
      <c r="G18" s="77">
        <v>45342.686805555553</v>
      </c>
      <c r="H18" s="77">
        <v>45342.692361111112</v>
      </c>
      <c r="I18" s="78">
        <v>5.3125000000000004E-3</v>
      </c>
      <c r="J18" s="78">
        <v>3.472222222222222E-3</v>
      </c>
      <c r="K18" s="75" t="s">
        <v>232</v>
      </c>
    </row>
    <row r="19" spans="1:11" x14ac:dyDescent="0.3">
      <c r="A19" s="75">
        <v>2095</v>
      </c>
      <c r="B19" s="76" t="s">
        <v>110</v>
      </c>
      <c r="C19" s="75" t="s">
        <v>253</v>
      </c>
      <c r="D19" s="76" t="s">
        <v>254</v>
      </c>
      <c r="E19" s="75" t="s">
        <v>236</v>
      </c>
      <c r="F19" s="75" t="s">
        <v>223</v>
      </c>
      <c r="G19" s="77">
        <v>45342.688888888886</v>
      </c>
      <c r="H19" s="77">
        <v>45342.690972222219</v>
      </c>
      <c r="I19" s="78">
        <v>2.3958333333333331E-3</v>
      </c>
      <c r="J19" s="78">
        <v>3.472222222222222E-3</v>
      </c>
      <c r="K19" s="75" t="s">
        <v>232</v>
      </c>
    </row>
    <row r="20" spans="1:11" x14ac:dyDescent="0.3">
      <c r="A20" s="75">
        <v>2079</v>
      </c>
      <c r="B20" s="76" t="s">
        <v>255</v>
      </c>
      <c r="C20" s="75" t="s">
        <v>256</v>
      </c>
      <c r="D20" s="76" t="s">
        <v>257</v>
      </c>
      <c r="E20" s="75" t="s">
        <v>222</v>
      </c>
      <c r="F20" s="75" t="s">
        <v>223</v>
      </c>
      <c r="G20" s="77">
        <v>45338.395833333336</v>
      </c>
      <c r="H20" s="77">
        <v>45359.45208333333</v>
      </c>
      <c r="I20" s="79">
        <v>15.055972222222222</v>
      </c>
      <c r="J20" s="78">
        <v>0.05</v>
      </c>
      <c r="K20" s="75" t="s">
        <v>232</v>
      </c>
    </row>
    <row r="21" spans="1:11" ht="28.8" x14ac:dyDescent="0.3">
      <c r="A21" s="75">
        <v>2107</v>
      </c>
      <c r="B21" s="76" t="s">
        <v>126</v>
      </c>
      <c r="C21" s="75" t="s">
        <v>258</v>
      </c>
      <c r="D21" s="76" t="s">
        <v>259</v>
      </c>
      <c r="E21" s="75" t="s">
        <v>222</v>
      </c>
      <c r="F21" s="75" t="s">
        <v>223</v>
      </c>
      <c r="G21" s="77">
        <v>45348.39166666667</v>
      </c>
      <c r="H21" s="77">
        <v>45348.392361111109</v>
      </c>
      <c r="I21" s="78">
        <v>9.6064814814814819E-4</v>
      </c>
      <c r="J21" s="78">
        <v>3.472222222222222E-3</v>
      </c>
      <c r="K21" s="75" t="s">
        <v>232</v>
      </c>
    </row>
    <row r="22" spans="1:11" x14ac:dyDescent="0.3">
      <c r="A22" s="75">
        <v>2160</v>
      </c>
      <c r="B22" s="76" t="s">
        <v>255</v>
      </c>
      <c r="C22" s="75" t="s">
        <v>260</v>
      </c>
      <c r="D22" s="76" t="s">
        <v>261</v>
      </c>
      <c r="E22" s="75" t="s">
        <v>222</v>
      </c>
      <c r="F22" s="75" t="s">
        <v>223</v>
      </c>
      <c r="G22" s="77">
        <v>45359.46875</v>
      </c>
      <c r="H22" s="77">
        <v>45359.469444444447</v>
      </c>
      <c r="I22" s="78">
        <v>8.4490740740740739E-4</v>
      </c>
      <c r="J22" s="78">
        <v>2.0833333333333332E-2</v>
      </c>
      <c r="K22" s="75" t="s">
        <v>232</v>
      </c>
    </row>
    <row r="23" spans="1:11" x14ac:dyDescent="0.3">
      <c r="A23" s="75">
        <v>2161</v>
      </c>
      <c r="B23" s="76" t="s">
        <v>255</v>
      </c>
      <c r="C23" s="75" t="s">
        <v>260</v>
      </c>
      <c r="D23" s="76" t="s">
        <v>262</v>
      </c>
      <c r="E23" s="75" t="s">
        <v>222</v>
      </c>
      <c r="F23" s="75" t="s">
        <v>223</v>
      </c>
      <c r="G23" s="77">
        <v>45359.47152777778</v>
      </c>
      <c r="H23" s="77">
        <v>45359.473611111112</v>
      </c>
      <c r="I23" s="78">
        <v>2.0254629629629629E-3</v>
      </c>
      <c r="J23" s="78">
        <v>2.0833333333333332E-2</v>
      </c>
      <c r="K23" s="75" t="s">
        <v>232</v>
      </c>
    </row>
    <row r="24" spans="1:11" x14ac:dyDescent="0.3">
      <c r="A24" s="75">
        <v>2162</v>
      </c>
      <c r="B24" s="76" t="s">
        <v>126</v>
      </c>
      <c r="C24" s="75" t="s">
        <v>263</v>
      </c>
      <c r="D24" s="76" t="s">
        <v>264</v>
      </c>
      <c r="E24" s="75" t="s">
        <v>222</v>
      </c>
      <c r="F24" s="75" t="s">
        <v>223</v>
      </c>
      <c r="G24" s="77">
        <v>45359.477083333331</v>
      </c>
      <c r="H24" s="77">
        <v>45359.478472222225</v>
      </c>
      <c r="I24" s="78">
        <v>1.3194444444444445E-3</v>
      </c>
      <c r="J24" s="78">
        <v>2.0833333333333332E-2</v>
      </c>
      <c r="K24" s="75" t="s">
        <v>232</v>
      </c>
    </row>
    <row r="25" spans="1:11" x14ac:dyDescent="0.3">
      <c r="A25" s="75">
        <v>2163</v>
      </c>
      <c r="B25" s="76" t="s">
        <v>103</v>
      </c>
      <c r="C25" s="75" t="s">
        <v>265</v>
      </c>
      <c r="D25" s="76" t="s">
        <v>266</v>
      </c>
      <c r="E25" s="75" t="s">
        <v>222</v>
      </c>
      <c r="F25" s="75" t="s">
        <v>223</v>
      </c>
      <c r="G25" s="77">
        <v>45359.48333333333</v>
      </c>
      <c r="H25" s="77">
        <v>45359.48541666667</v>
      </c>
      <c r="I25" s="78">
        <v>1.4120370370370369E-3</v>
      </c>
      <c r="J25" s="78">
        <v>2.0833333333333332E-2</v>
      </c>
      <c r="K25" s="75" t="s">
        <v>232</v>
      </c>
    </row>
    <row r="26" spans="1:11" x14ac:dyDescent="0.3">
      <c r="A26" s="75">
        <v>2164</v>
      </c>
      <c r="B26" s="76" t="s">
        <v>103</v>
      </c>
      <c r="C26" s="75" t="s">
        <v>229</v>
      </c>
      <c r="D26" s="76" t="s">
        <v>267</v>
      </c>
      <c r="E26" s="75" t="s">
        <v>222</v>
      </c>
      <c r="F26" s="75" t="s">
        <v>223</v>
      </c>
      <c r="G26" s="77">
        <v>45359.486111111109</v>
      </c>
      <c r="H26" s="77">
        <v>45359.489583333336</v>
      </c>
      <c r="I26" s="78">
        <v>3.2523148148148147E-3</v>
      </c>
      <c r="J26" s="78">
        <v>2.0833333333333332E-2</v>
      </c>
      <c r="K26" s="75" t="s">
        <v>232</v>
      </c>
    </row>
    <row r="27" spans="1:11" x14ac:dyDescent="0.3">
      <c r="A27" s="75">
        <v>2165</v>
      </c>
      <c r="B27" s="76" t="s">
        <v>103</v>
      </c>
      <c r="C27" s="75" t="s">
        <v>229</v>
      </c>
      <c r="D27" s="76" t="s">
        <v>268</v>
      </c>
      <c r="E27" s="75" t="s">
        <v>222</v>
      </c>
      <c r="F27" s="75" t="s">
        <v>223</v>
      </c>
      <c r="G27" s="77">
        <v>45359.491666666669</v>
      </c>
      <c r="H27" s="77">
        <v>45359.492361111108</v>
      </c>
      <c r="I27" s="78">
        <v>8.6805555555555551E-4</v>
      </c>
      <c r="J27" s="78">
        <v>2.0833333333333332E-2</v>
      </c>
      <c r="K27" s="75" t="s">
        <v>232</v>
      </c>
    </row>
    <row r="28" spans="1:11" x14ac:dyDescent="0.3">
      <c r="A28" s="75">
        <v>2194</v>
      </c>
      <c r="B28" s="76" t="s">
        <v>237</v>
      </c>
      <c r="C28" s="75" t="s">
        <v>238</v>
      </c>
      <c r="D28" s="76" t="s">
        <v>269</v>
      </c>
      <c r="E28" s="75" t="s">
        <v>222</v>
      </c>
      <c r="F28" s="75" t="s">
        <v>223</v>
      </c>
      <c r="G28" s="77">
        <v>45372.379166666666</v>
      </c>
      <c r="H28" s="77">
        <v>45373.468055555553</v>
      </c>
      <c r="I28" s="79">
        <v>1.0891898148148149</v>
      </c>
      <c r="J28" s="78">
        <v>2.0833333333333332E-2</v>
      </c>
      <c r="K28" s="75" t="s">
        <v>232</v>
      </c>
    </row>
    <row r="29" spans="1:11" x14ac:dyDescent="0.3">
      <c r="A29" s="75">
        <v>2201</v>
      </c>
      <c r="B29" s="76" t="s">
        <v>23</v>
      </c>
      <c r="C29" s="75" t="s">
        <v>243</v>
      </c>
      <c r="D29" s="76" t="s">
        <v>270</v>
      </c>
      <c r="E29" s="75" t="s">
        <v>222</v>
      </c>
      <c r="F29" s="75" t="s">
        <v>223</v>
      </c>
      <c r="G29" s="77">
        <v>45376.553472222222</v>
      </c>
      <c r="H29" s="77">
        <v>45376.554861111108</v>
      </c>
      <c r="I29" s="78">
        <v>1.4930555555555556E-3</v>
      </c>
      <c r="J29" s="78">
        <v>2.0833333333333332E-2</v>
      </c>
      <c r="K29" s="75" t="s">
        <v>232</v>
      </c>
    </row>
    <row r="30" spans="1:11" x14ac:dyDescent="0.3">
      <c r="A30" s="75">
        <v>2216</v>
      </c>
      <c r="B30" s="76" t="s">
        <v>226</v>
      </c>
      <c r="C30" s="75" t="s">
        <v>227</v>
      </c>
      <c r="D30" s="76" t="s">
        <v>271</v>
      </c>
      <c r="E30" s="75" t="s">
        <v>222</v>
      </c>
      <c r="F30" s="75" t="s">
        <v>223</v>
      </c>
      <c r="G30" s="77">
        <v>45385.554861111108</v>
      </c>
      <c r="H30" s="77">
        <v>45387.635416666664</v>
      </c>
      <c r="I30" s="79">
        <v>2.0799189814814816</v>
      </c>
      <c r="J30" s="78">
        <v>1.1805555555555555E-2</v>
      </c>
      <c r="K30" s="75" t="s">
        <v>224</v>
      </c>
    </row>
    <row r="31" spans="1:11" x14ac:dyDescent="0.3">
      <c r="A31" s="75">
        <v>2224</v>
      </c>
      <c r="B31" s="76" t="s">
        <v>248</v>
      </c>
      <c r="C31" s="75" t="s">
        <v>249</v>
      </c>
      <c r="D31" s="76" t="s">
        <v>272</v>
      </c>
      <c r="E31" s="75" t="s">
        <v>222</v>
      </c>
      <c r="F31" s="75" t="s">
        <v>223</v>
      </c>
      <c r="G31" s="77">
        <v>45386.384722222225</v>
      </c>
      <c r="H31" s="77">
        <v>45414.386805555558</v>
      </c>
      <c r="I31" s="79">
        <v>19.647812500000001</v>
      </c>
      <c r="J31" s="78">
        <v>2.0833333333333332E-2</v>
      </c>
      <c r="K31" s="75" t="s">
        <v>224</v>
      </c>
    </row>
    <row r="32" spans="1:11" x14ac:dyDescent="0.3">
      <c r="A32" s="75">
        <v>2225</v>
      </c>
      <c r="B32" s="76" t="s">
        <v>248</v>
      </c>
      <c r="C32" s="75" t="s">
        <v>249</v>
      </c>
      <c r="D32" s="76" t="s">
        <v>273</v>
      </c>
      <c r="E32" s="75" t="s">
        <v>222</v>
      </c>
      <c r="F32" s="75" t="s">
        <v>223</v>
      </c>
      <c r="G32" s="77">
        <v>45386.388194444444</v>
      </c>
      <c r="H32" s="77">
        <v>45408.575694444444</v>
      </c>
      <c r="I32" s="79">
        <v>15.833333333333334</v>
      </c>
      <c r="J32" s="78">
        <v>2.5000000000000001E-2</v>
      </c>
      <c r="K32" s="75" t="s">
        <v>224</v>
      </c>
    </row>
    <row r="33" spans="1:11" x14ac:dyDescent="0.3">
      <c r="A33" s="75">
        <v>2239</v>
      </c>
      <c r="B33" s="76" t="s">
        <v>274</v>
      </c>
      <c r="C33" s="75" t="s">
        <v>275</v>
      </c>
      <c r="D33" s="76" t="s">
        <v>276</v>
      </c>
      <c r="E33" s="75" t="s">
        <v>277</v>
      </c>
      <c r="F33" s="75" t="s">
        <v>223</v>
      </c>
      <c r="G33" s="77">
        <v>45391.713194444441</v>
      </c>
      <c r="H33" s="77">
        <v>45398.677777777775</v>
      </c>
      <c r="I33" s="79">
        <v>4.964641203703704</v>
      </c>
      <c r="J33" s="78">
        <v>2.0833333333333332E-2</v>
      </c>
      <c r="K33" s="75" t="s">
        <v>224</v>
      </c>
    </row>
    <row r="34" spans="1:11" x14ac:dyDescent="0.3">
      <c r="A34" s="75">
        <v>2262</v>
      </c>
      <c r="B34" s="76" t="s">
        <v>136</v>
      </c>
      <c r="C34" s="75" t="s">
        <v>220</v>
      </c>
      <c r="D34" s="76" t="s">
        <v>278</v>
      </c>
      <c r="E34" s="75" t="s">
        <v>222</v>
      </c>
      <c r="F34" s="75" t="s">
        <v>223</v>
      </c>
      <c r="G34" s="77">
        <v>45399.51666666667</v>
      </c>
      <c r="H34" s="77">
        <v>45405.354166666664</v>
      </c>
      <c r="I34" s="79">
        <v>3.5034375</v>
      </c>
      <c r="J34" s="78">
        <v>2.0833333333333332E-2</v>
      </c>
      <c r="K34" s="75" t="s">
        <v>224</v>
      </c>
    </row>
    <row r="35" spans="1:11" x14ac:dyDescent="0.3">
      <c r="A35" s="75">
        <v>2265</v>
      </c>
      <c r="B35" s="76" t="s">
        <v>126</v>
      </c>
      <c r="C35" s="75" t="s">
        <v>279</v>
      </c>
      <c r="D35" s="76" t="s">
        <v>280</v>
      </c>
      <c r="E35" s="75" t="s">
        <v>222</v>
      </c>
      <c r="F35" s="75" t="s">
        <v>223</v>
      </c>
      <c r="G35" s="77">
        <v>45399.665277777778</v>
      </c>
      <c r="H35" s="77">
        <v>45407.552777777775</v>
      </c>
      <c r="I35" s="79">
        <v>4.7389351851851851</v>
      </c>
      <c r="J35" s="78">
        <v>4.0972222222222222E-2</v>
      </c>
      <c r="K35" s="75" t="s">
        <v>224</v>
      </c>
    </row>
    <row r="36" spans="1:11" x14ac:dyDescent="0.3">
      <c r="A36" s="75">
        <v>2267</v>
      </c>
      <c r="B36" s="76" t="s">
        <v>23</v>
      </c>
      <c r="C36" s="75" t="s">
        <v>281</v>
      </c>
      <c r="D36" s="76" t="s">
        <v>282</v>
      </c>
      <c r="E36" s="75" t="s">
        <v>222</v>
      </c>
      <c r="F36" s="75" t="s">
        <v>223</v>
      </c>
      <c r="G36" s="77">
        <v>45401.428472222222</v>
      </c>
      <c r="H36" s="77">
        <v>45401.518055555556</v>
      </c>
      <c r="I36" s="78">
        <v>8.9745370370370364E-2</v>
      </c>
      <c r="J36" s="78">
        <v>2.0833333333333332E-2</v>
      </c>
      <c r="K36" s="75" t="s">
        <v>224</v>
      </c>
    </row>
    <row r="37" spans="1:11" x14ac:dyDescent="0.3">
      <c r="A37" s="75">
        <v>2291</v>
      </c>
      <c r="B37" s="76" t="s">
        <v>283</v>
      </c>
      <c r="C37" s="75" t="s">
        <v>284</v>
      </c>
      <c r="D37" s="76" t="s">
        <v>285</v>
      </c>
      <c r="E37" s="75" t="s">
        <v>222</v>
      </c>
      <c r="F37" s="75" t="s">
        <v>223</v>
      </c>
      <c r="G37" s="77">
        <v>45415.530555555553</v>
      </c>
      <c r="H37" s="77">
        <v>45415.57916666667</v>
      </c>
      <c r="I37" s="78">
        <v>4.8379629629629627E-2</v>
      </c>
      <c r="J37" s="78">
        <v>2.0833333333333332E-2</v>
      </c>
      <c r="K37" s="75" t="s">
        <v>224</v>
      </c>
    </row>
    <row r="38" spans="1:11" x14ac:dyDescent="0.3">
      <c r="A38" s="75">
        <v>2292</v>
      </c>
      <c r="B38" s="76" t="s">
        <v>248</v>
      </c>
      <c r="C38" s="75" t="s">
        <v>249</v>
      </c>
      <c r="D38" s="76" t="s">
        <v>286</v>
      </c>
      <c r="E38" s="75" t="s">
        <v>222</v>
      </c>
      <c r="F38" s="75" t="s">
        <v>223</v>
      </c>
      <c r="G38" s="77">
        <v>45415.61041666667</v>
      </c>
      <c r="H38" s="77">
        <v>45415.611111111109</v>
      </c>
      <c r="I38" s="78">
        <v>7.9861111111111116E-4</v>
      </c>
      <c r="J38" s="78">
        <v>2.0833333333333332E-2</v>
      </c>
      <c r="K38" s="75" t="s">
        <v>232</v>
      </c>
    </row>
    <row r="39" spans="1:11" x14ac:dyDescent="0.3">
      <c r="A39" s="75">
        <v>2294</v>
      </c>
      <c r="B39" s="76" t="s">
        <v>287</v>
      </c>
      <c r="C39" s="75" t="s">
        <v>288</v>
      </c>
      <c r="D39" s="76" t="s">
        <v>289</v>
      </c>
      <c r="E39" s="75" t="s">
        <v>222</v>
      </c>
      <c r="F39" s="75" t="s">
        <v>223</v>
      </c>
      <c r="G39" s="77">
        <v>45418.432638888888</v>
      </c>
      <c r="H39" s="77">
        <v>45573.423611111109</v>
      </c>
      <c r="I39" s="79">
        <v>99.078020833333326</v>
      </c>
      <c r="J39" s="78">
        <v>2.0833333333333332E-2</v>
      </c>
      <c r="K39" s="75" t="s">
        <v>232</v>
      </c>
    </row>
    <row r="40" spans="1:11" x14ac:dyDescent="0.3">
      <c r="A40" s="75">
        <v>2304</v>
      </c>
      <c r="B40" s="76" t="s">
        <v>290</v>
      </c>
      <c r="C40" s="75" t="s">
        <v>265</v>
      </c>
      <c r="D40" s="76" t="s">
        <v>291</v>
      </c>
      <c r="E40" s="75" t="s">
        <v>222</v>
      </c>
      <c r="F40" s="75" t="s">
        <v>223</v>
      </c>
      <c r="G40" s="77">
        <v>45422.501388888886</v>
      </c>
      <c r="H40" s="77">
        <v>45422.502083333333</v>
      </c>
      <c r="I40" s="78">
        <v>9.1435185185185185E-4</v>
      </c>
      <c r="J40" s="78">
        <v>2.0833333333333332E-2</v>
      </c>
      <c r="K40" s="75" t="s">
        <v>232</v>
      </c>
    </row>
    <row r="41" spans="1:11" x14ac:dyDescent="0.3">
      <c r="A41" s="75">
        <v>2305</v>
      </c>
      <c r="B41" s="76" t="s">
        <v>205</v>
      </c>
      <c r="C41" s="75" t="s">
        <v>292</v>
      </c>
      <c r="D41" s="76" t="s">
        <v>231</v>
      </c>
      <c r="E41" s="75" t="s">
        <v>236</v>
      </c>
      <c r="F41" s="75" t="s">
        <v>223</v>
      </c>
      <c r="G41" s="77">
        <v>45422.504166666666</v>
      </c>
      <c r="H41" s="77">
        <v>45422.504861111112</v>
      </c>
      <c r="I41" s="78">
        <v>7.1759259259259259E-4</v>
      </c>
      <c r="J41" s="78">
        <v>2.0833333333333332E-2</v>
      </c>
      <c r="K41" s="75" t="s">
        <v>232</v>
      </c>
    </row>
    <row r="42" spans="1:11" x14ac:dyDescent="0.3">
      <c r="A42" s="75">
        <v>2306</v>
      </c>
      <c r="B42" s="76" t="s">
        <v>293</v>
      </c>
      <c r="C42" s="75" t="s">
        <v>294</v>
      </c>
      <c r="D42" s="76" t="s">
        <v>295</v>
      </c>
      <c r="E42" s="75" t="s">
        <v>222</v>
      </c>
      <c r="F42" s="75" t="s">
        <v>223</v>
      </c>
      <c r="G42" s="77">
        <v>45422.507638888892</v>
      </c>
      <c r="H42" s="77">
        <v>45422.507638888892</v>
      </c>
      <c r="I42" s="78">
        <v>3.9351851851851852E-4</v>
      </c>
      <c r="J42" s="78">
        <v>2.0833333333333332E-2</v>
      </c>
      <c r="K42" s="75" t="s">
        <v>232</v>
      </c>
    </row>
    <row r="43" spans="1:11" x14ac:dyDescent="0.3">
      <c r="A43" s="75">
        <v>2307</v>
      </c>
      <c r="B43" s="76" t="s">
        <v>296</v>
      </c>
      <c r="C43" s="75" t="s">
        <v>296</v>
      </c>
      <c r="D43" s="76" t="s">
        <v>297</v>
      </c>
      <c r="E43" s="75" t="s">
        <v>222</v>
      </c>
      <c r="F43" s="75" t="s">
        <v>223</v>
      </c>
      <c r="G43" s="77">
        <v>45422.509027777778</v>
      </c>
      <c r="H43" s="77">
        <v>45422.510416666664</v>
      </c>
      <c r="I43" s="78">
        <v>1.6319444444444445E-3</v>
      </c>
      <c r="J43" s="78">
        <v>2.0833333333333332E-2</v>
      </c>
      <c r="K43" s="75" t="s">
        <v>232</v>
      </c>
    </row>
    <row r="44" spans="1:11" x14ac:dyDescent="0.3">
      <c r="A44" s="75">
        <v>2308</v>
      </c>
      <c r="B44" s="76" t="s">
        <v>298</v>
      </c>
      <c r="C44" s="75" t="s">
        <v>299</v>
      </c>
      <c r="D44" s="76" t="s">
        <v>300</v>
      </c>
      <c r="E44" s="75" t="s">
        <v>222</v>
      </c>
      <c r="F44" s="75" t="s">
        <v>223</v>
      </c>
      <c r="G44" s="77">
        <v>45422.512499999997</v>
      </c>
      <c r="H44" s="77">
        <v>45422.512499999997</v>
      </c>
      <c r="I44" s="78">
        <v>4.2824074074074075E-4</v>
      </c>
      <c r="J44" s="78">
        <v>2.0833333333333332E-2</v>
      </c>
      <c r="K44" s="75" t="s">
        <v>232</v>
      </c>
    </row>
    <row r="45" spans="1:11" x14ac:dyDescent="0.3">
      <c r="A45" s="75">
        <v>2309</v>
      </c>
      <c r="B45" s="76" t="s">
        <v>152</v>
      </c>
      <c r="C45" s="75" t="s">
        <v>301</v>
      </c>
      <c r="D45" s="76" t="s">
        <v>302</v>
      </c>
      <c r="E45" s="75" t="s">
        <v>222</v>
      </c>
      <c r="F45" s="75" t="s">
        <v>223</v>
      </c>
      <c r="G45" s="77">
        <v>45422.51458333333</v>
      </c>
      <c r="H45" s="77">
        <v>45422.51458333333</v>
      </c>
      <c r="I45" s="78">
        <v>3.7037037037037035E-4</v>
      </c>
      <c r="J45" s="78">
        <v>2.0833333333333332E-2</v>
      </c>
      <c r="K45" s="75" t="s">
        <v>224</v>
      </c>
    </row>
    <row r="46" spans="1:11" x14ac:dyDescent="0.3">
      <c r="A46" s="75">
        <v>2320</v>
      </c>
      <c r="B46" s="76" t="s">
        <v>126</v>
      </c>
      <c r="C46" s="75" t="s">
        <v>303</v>
      </c>
      <c r="D46" s="76" t="s">
        <v>304</v>
      </c>
      <c r="E46" s="75" t="s">
        <v>222</v>
      </c>
      <c r="F46" s="75" t="s">
        <v>223</v>
      </c>
      <c r="G46" s="77">
        <v>45426.671527777777</v>
      </c>
      <c r="H46" s="77">
        <v>45426.674305555556</v>
      </c>
      <c r="I46" s="78">
        <v>2.8819444444444444E-3</v>
      </c>
      <c r="J46" s="78">
        <v>2.0833333333333332E-2</v>
      </c>
      <c r="K46" s="75" t="s">
        <v>224</v>
      </c>
    </row>
    <row r="47" spans="1:11" x14ac:dyDescent="0.3">
      <c r="A47" s="75">
        <v>2347</v>
      </c>
      <c r="B47" s="76" t="s">
        <v>248</v>
      </c>
      <c r="C47" s="75" t="s">
        <v>305</v>
      </c>
      <c r="D47" s="76" t="s">
        <v>306</v>
      </c>
      <c r="E47" s="75" t="s">
        <v>222</v>
      </c>
      <c r="F47" s="75" t="s">
        <v>223</v>
      </c>
      <c r="G47" s="77">
        <v>45439.686111111114</v>
      </c>
      <c r="H47" s="77">
        <v>45440.392361111109</v>
      </c>
      <c r="I47" s="78">
        <v>3.5069444444444445E-3</v>
      </c>
      <c r="J47" s="78">
        <v>2.0833333333333332E-2</v>
      </c>
      <c r="K47" s="75" t="s">
        <v>232</v>
      </c>
    </row>
    <row r="48" spans="1:11" ht="28.8" x14ac:dyDescent="0.3">
      <c r="A48" s="75">
        <v>2348</v>
      </c>
      <c r="B48" s="76" t="s">
        <v>290</v>
      </c>
      <c r="C48" s="75" t="s">
        <v>265</v>
      </c>
      <c r="D48" s="76" t="s">
        <v>307</v>
      </c>
      <c r="E48" s="75" t="s">
        <v>222</v>
      </c>
      <c r="F48" s="75" t="s">
        <v>223</v>
      </c>
      <c r="G48" s="77">
        <v>45440.424305555556</v>
      </c>
      <c r="H48" s="77">
        <v>45440.426388888889</v>
      </c>
      <c r="I48" s="78">
        <v>2.0023148148148148E-3</v>
      </c>
      <c r="J48" s="78">
        <v>2.0833333333333332E-2</v>
      </c>
      <c r="K48" s="75" t="s">
        <v>224</v>
      </c>
    </row>
    <row r="49" spans="1:11" x14ac:dyDescent="0.3">
      <c r="A49" s="75">
        <v>2356</v>
      </c>
      <c r="B49" s="76" t="s">
        <v>23</v>
      </c>
      <c r="C49" s="75" t="s">
        <v>243</v>
      </c>
      <c r="D49" s="76" t="s">
        <v>308</v>
      </c>
      <c r="E49" s="75" t="s">
        <v>222</v>
      </c>
      <c r="F49" s="75" t="s">
        <v>223</v>
      </c>
      <c r="G49" s="77">
        <v>45448.65625</v>
      </c>
      <c r="H49" s="77">
        <v>45449.597222222219</v>
      </c>
      <c r="I49" s="78">
        <v>0.94136574074074075</v>
      </c>
      <c r="J49" s="78">
        <v>2.0833333333333332E-2</v>
      </c>
      <c r="K49" s="75" t="s">
        <v>224</v>
      </c>
    </row>
    <row r="50" spans="1:11" x14ac:dyDescent="0.3">
      <c r="A50" s="75">
        <v>2360</v>
      </c>
      <c r="B50" s="76" t="s">
        <v>23</v>
      </c>
      <c r="C50" s="75" t="s">
        <v>243</v>
      </c>
      <c r="D50" s="76" t="s">
        <v>309</v>
      </c>
      <c r="E50" s="75" t="s">
        <v>222</v>
      </c>
      <c r="F50" s="75" t="s">
        <v>223</v>
      </c>
      <c r="G50" s="77">
        <v>45449.692361111112</v>
      </c>
      <c r="H50" s="77">
        <v>45450.45</v>
      </c>
      <c r="I50" s="78">
        <v>0.75769675925925928</v>
      </c>
      <c r="J50" s="78">
        <v>2.0833333333333332E-2</v>
      </c>
      <c r="K50" s="75" t="s">
        <v>224</v>
      </c>
    </row>
    <row r="51" spans="1:11" x14ac:dyDescent="0.3">
      <c r="A51" s="75">
        <v>2381</v>
      </c>
      <c r="B51" s="76" t="s">
        <v>310</v>
      </c>
      <c r="C51" s="75" t="s">
        <v>311</v>
      </c>
      <c r="D51" s="76" t="s">
        <v>312</v>
      </c>
      <c r="E51" s="75" t="s">
        <v>222</v>
      </c>
      <c r="F51" s="75" t="s">
        <v>223</v>
      </c>
      <c r="G51" s="77">
        <v>45455.692361111112</v>
      </c>
      <c r="H51" s="77">
        <v>45573.422222222223</v>
      </c>
      <c r="I51" s="79">
        <v>71.820590277777782</v>
      </c>
      <c r="J51" s="78">
        <v>2.0833333333333332E-2</v>
      </c>
      <c r="K51" s="75" t="s">
        <v>232</v>
      </c>
    </row>
    <row r="52" spans="1:11" x14ac:dyDescent="0.3">
      <c r="A52" s="75">
        <v>2384</v>
      </c>
      <c r="B52" s="76" t="s">
        <v>152</v>
      </c>
      <c r="C52" s="75" t="s">
        <v>301</v>
      </c>
      <c r="D52" s="76" t="s">
        <v>313</v>
      </c>
      <c r="E52" s="75" t="s">
        <v>222</v>
      </c>
      <c r="F52" s="75" t="s">
        <v>223</v>
      </c>
      <c r="G52" s="77">
        <v>45457.529861111114</v>
      </c>
      <c r="H52" s="77">
        <v>45462.65902777778</v>
      </c>
      <c r="I52" s="79">
        <v>3.1288773148148148</v>
      </c>
      <c r="J52" s="78">
        <v>2.0833333333333332E-2</v>
      </c>
      <c r="K52" s="75" t="s">
        <v>224</v>
      </c>
    </row>
    <row r="53" spans="1:11" x14ac:dyDescent="0.3">
      <c r="A53" s="75">
        <v>2385</v>
      </c>
      <c r="B53" s="76" t="s">
        <v>152</v>
      </c>
      <c r="C53" s="75" t="s">
        <v>301</v>
      </c>
      <c r="D53" s="76" t="s">
        <v>314</v>
      </c>
      <c r="E53" s="75" t="s">
        <v>222</v>
      </c>
      <c r="F53" s="75" t="s">
        <v>223</v>
      </c>
      <c r="G53" s="77">
        <v>45457.532638888886</v>
      </c>
      <c r="H53" s="77">
        <v>45462.660416666666</v>
      </c>
      <c r="I53" s="79">
        <v>3.127685185185185</v>
      </c>
      <c r="J53" s="78">
        <v>2.0833333333333332E-2</v>
      </c>
      <c r="K53" s="75" t="s">
        <v>224</v>
      </c>
    </row>
    <row r="54" spans="1:11" x14ac:dyDescent="0.3">
      <c r="A54" s="75">
        <v>2392</v>
      </c>
      <c r="B54" s="76" t="s">
        <v>110</v>
      </c>
      <c r="C54" s="75" t="s">
        <v>315</v>
      </c>
      <c r="D54" s="76" t="s">
        <v>297</v>
      </c>
      <c r="E54" s="75" t="s">
        <v>222</v>
      </c>
      <c r="F54" s="75" t="s">
        <v>223</v>
      </c>
      <c r="G54" s="77">
        <v>45462.668749999997</v>
      </c>
      <c r="H54" s="77">
        <v>45462.670138888891</v>
      </c>
      <c r="I54" s="78">
        <v>1.4351851851851852E-3</v>
      </c>
      <c r="J54" s="78">
        <v>2.0833333333333332E-2</v>
      </c>
      <c r="K54" s="75" t="s">
        <v>224</v>
      </c>
    </row>
    <row r="55" spans="1:11" x14ac:dyDescent="0.3">
      <c r="A55" s="75">
        <v>2440</v>
      </c>
      <c r="B55" s="76" t="s">
        <v>110</v>
      </c>
      <c r="C55" s="75" t="s">
        <v>145</v>
      </c>
      <c r="D55" s="76" t="s">
        <v>316</v>
      </c>
      <c r="E55" s="75" t="s">
        <v>236</v>
      </c>
      <c r="F55" s="75" t="s">
        <v>223</v>
      </c>
      <c r="G55" s="77">
        <v>45485.467361111114</v>
      </c>
      <c r="H55" s="77">
        <v>45485.472916666666</v>
      </c>
      <c r="I55" s="78">
        <v>5.8101851851851856E-3</v>
      </c>
      <c r="J55" s="78">
        <v>2.0833333333333332E-2</v>
      </c>
      <c r="K55" s="75" t="s">
        <v>224</v>
      </c>
    </row>
    <row r="56" spans="1:11" x14ac:dyDescent="0.3">
      <c r="A56" s="75">
        <v>2441</v>
      </c>
      <c r="B56" s="76" t="s">
        <v>255</v>
      </c>
      <c r="C56" s="75" t="s">
        <v>317</v>
      </c>
      <c r="D56" s="76" t="s">
        <v>264</v>
      </c>
      <c r="E56" s="75" t="s">
        <v>222</v>
      </c>
      <c r="F56" s="75" t="s">
        <v>223</v>
      </c>
      <c r="G56" s="77">
        <v>45485.46875</v>
      </c>
      <c r="H56" s="77">
        <v>45485.472222222219</v>
      </c>
      <c r="I56" s="78">
        <v>3.7731481481481483E-3</v>
      </c>
      <c r="J56" s="78">
        <v>2.0833333333333332E-2</v>
      </c>
      <c r="K56" s="75" t="s">
        <v>224</v>
      </c>
    </row>
    <row r="57" spans="1:11" x14ac:dyDescent="0.3">
      <c r="A57" s="75">
        <v>2442</v>
      </c>
      <c r="B57" s="76" t="s">
        <v>318</v>
      </c>
      <c r="C57" s="75" t="s">
        <v>319</v>
      </c>
      <c r="D57" s="76" t="s">
        <v>320</v>
      </c>
      <c r="E57" s="75" t="s">
        <v>222</v>
      </c>
      <c r="F57" s="75" t="s">
        <v>223</v>
      </c>
      <c r="G57" s="77">
        <v>45485.47152777778</v>
      </c>
      <c r="H57" s="77">
        <v>45485.527083333334</v>
      </c>
      <c r="I57" s="78">
        <v>5.590277777777778E-2</v>
      </c>
      <c r="J57" s="78">
        <v>2.0833333333333332E-2</v>
      </c>
      <c r="K57" s="75" t="s">
        <v>224</v>
      </c>
    </row>
    <row r="58" spans="1:11" x14ac:dyDescent="0.3">
      <c r="A58" s="75">
        <v>2443</v>
      </c>
      <c r="B58" s="76" t="s">
        <v>110</v>
      </c>
      <c r="C58" s="75" t="s">
        <v>321</v>
      </c>
      <c r="D58" s="76" t="s">
        <v>322</v>
      </c>
      <c r="E58" s="75" t="s">
        <v>236</v>
      </c>
      <c r="F58" s="75" t="s">
        <v>223</v>
      </c>
      <c r="G58" s="77">
        <v>45488.518055555556</v>
      </c>
      <c r="H58" s="77">
        <v>45488.581944444442</v>
      </c>
      <c r="I58" s="78">
        <v>6.3900462962962964E-2</v>
      </c>
      <c r="J58" s="78">
        <v>2.0833333333333332E-2</v>
      </c>
      <c r="K58" s="75" t="s">
        <v>224</v>
      </c>
    </row>
    <row r="59" spans="1:11" x14ac:dyDescent="0.3">
      <c r="A59" s="75">
        <v>2452</v>
      </c>
      <c r="B59" s="76" t="s">
        <v>323</v>
      </c>
      <c r="C59" s="75" t="s">
        <v>324</v>
      </c>
      <c r="D59" s="76" t="s">
        <v>325</v>
      </c>
      <c r="E59" s="75" t="s">
        <v>222</v>
      </c>
      <c r="F59" s="75" t="s">
        <v>223</v>
      </c>
      <c r="G59" s="77">
        <v>45491.60833333333</v>
      </c>
      <c r="H59" s="77">
        <v>45491.698611111111</v>
      </c>
      <c r="I59" s="78">
        <v>9.0451388888888887E-2</v>
      </c>
      <c r="J59" s="78">
        <v>2.0833333333333332E-2</v>
      </c>
      <c r="K59" s="75" t="s">
        <v>224</v>
      </c>
    </row>
    <row r="60" spans="1:11" ht="28.8" x14ac:dyDescent="0.3">
      <c r="A60" s="75">
        <v>2453</v>
      </c>
      <c r="B60" s="76" t="s">
        <v>323</v>
      </c>
      <c r="C60" s="75" t="s">
        <v>324</v>
      </c>
      <c r="D60" s="76" t="s">
        <v>326</v>
      </c>
      <c r="E60" s="75" t="s">
        <v>222</v>
      </c>
      <c r="F60" s="75" t="s">
        <v>223</v>
      </c>
      <c r="G60" s="77">
        <v>45491.609722222223</v>
      </c>
      <c r="H60" s="77">
        <v>45491.698611111111</v>
      </c>
      <c r="I60" s="78">
        <v>8.8935185185185187E-2</v>
      </c>
      <c r="J60" s="78">
        <v>2.0833333333333332E-2</v>
      </c>
      <c r="K60" s="75" t="s">
        <v>224</v>
      </c>
    </row>
    <row r="61" spans="1:11" x14ac:dyDescent="0.3">
      <c r="A61" s="75">
        <v>2454</v>
      </c>
      <c r="B61" s="76" t="s">
        <v>327</v>
      </c>
      <c r="C61" s="75" t="s">
        <v>328</v>
      </c>
      <c r="D61" s="76" t="s">
        <v>329</v>
      </c>
      <c r="E61" s="75" t="s">
        <v>222</v>
      </c>
      <c r="F61" s="75" t="s">
        <v>223</v>
      </c>
      <c r="G61" s="77">
        <v>45491.611805555556</v>
      </c>
      <c r="H61" s="77">
        <v>45492.607638888891</v>
      </c>
      <c r="I61" s="78">
        <v>0.99611111111111106</v>
      </c>
      <c r="J61" s="78">
        <v>2.0833333333333332E-2</v>
      </c>
      <c r="K61" s="75" t="s">
        <v>224</v>
      </c>
    </row>
    <row r="62" spans="1:11" x14ac:dyDescent="0.3">
      <c r="A62" s="75">
        <v>2468</v>
      </c>
      <c r="B62" s="76" t="s">
        <v>310</v>
      </c>
      <c r="C62" s="75" t="s">
        <v>294</v>
      </c>
      <c r="D62" s="76" t="s">
        <v>330</v>
      </c>
      <c r="E62" s="75" t="s">
        <v>222</v>
      </c>
      <c r="F62" s="75" t="s">
        <v>223</v>
      </c>
      <c r="G62" s="77">
        <v>45498.362500000003</v>
      </c>
      <c r="H62" s="77">
        <v>45498.363194444442</v>
      </c>
      <c r="I62" s="78">
        <v>5.6712962962962967E-4</v>
      </c>
      <c r="J62" s="78">
        <v>2.0833333333333332E-2</v>
      </c>
      <c r="K62" s="75" t="s">
        <v>224</v>
      </c>
    </row>
    <row r="63" spans="1:11" x14ac:dyDescent="0.3">
      <c r="A63" s="75">
        <v>2469</v>
      </c>
      <c r="B63" s="76" t="s">
        <v>310</v>
      </c>
      <c r="C63" s="75" t="s">
        <v>294</v>
      </c>
      <c r="D63" s="76" t="s">
        <v>331</v>
      </c>
      <c r="E63" s="75" t="s">
        <v>222</v>
      </c>
      <c r="F63" s="75" t="s">
        <v>223</v>
      </c>
      <c r="G63" s="77">
        <v>45498.363888888889</v>
      </c>
      <c r="H63" s="77">
        <v>45498.365277777775</v>
      </c>
      <c r="I63" s="78">
        <v>8.7962962962962962E-4</v>
      </c>
      <c r="J63" s="78">
        <v>2.0833333333333332E-2</v>
      </c>
      <c r="K63" s="75" t="s">
        <v>224</v>
      </c>
    </row>
    <row r="64" spans="1:11" ht="28.8" x14ac:dyDescent="0.3">
      <c r="A64" s="75">
        <v>2528</v>
      </c>
      <c r="B64" s="76" t="s">
        <v>205</v>
      </c>
      <c r="C64" s="75" t="s">
        <v>332</v>
      </c>
      <c r="D64" s="76" t="s">
        <v>333</v>
      </c>
      <c r="E64" s="75" t="s">
        <v>236</v>
      </c>
      <c r="F64" s="75" t="s">
        <v>223</v>
      </c>
      <c r="G64" s="77">
        <v>45526.619444444441</v>
      </c>
      <c r="H64" s="77">
        <v>45533.456944444442</v>
      </c>
      <c r="I64" s="79">
        <v>4.8371296296296293</v>
      </c>
      <c r="J64" s="78">
        <v>2.0833333333333332E-2</v>
      </c>
      <c r="K64" s="75" t="s">
        <v>224</v>
      </c>
    </row>
    <row r="65" spans="1:11" x14ac:dyDescent="0.3">
      <c r="A65" s="75">
        <v>2530</v>
      </c>
      <c r="B65" s="76" t="s">
        <v>205</v>
      </c>
      <c r="C65" s="75" t="s">
        <v>292</v>
      </c>
      <c r="D65" s="76" t="s">
        <v>334</v>
      </c>
      <c r="E65" s="75" t="s">
        <v>236</v>
      </c>
      <c r="F65" s="75" t="s">
        <v>223</v>
      </c>
      <c r="G65" s="77">
        <v>45527.588194444441</v>
      </c>
      <c r="H65" s="77">
        <v>45527.588888888888</v>
      </c>
      <c r="I65" s="78">
        <v>7.0601851851851847E-4</v>
      </c>
      <c r="J65" s="78">
        <v>2.0833333333333332E-2</v>
      </c>
      <c r="K65" s="75" t="s">
        <v>224</v>
      </c>
    </row>
    <row r="66" spans="1:11" x14ac:dyDescent="0.3">
      <c r="A66" s="75">
        <v>2545</v>
      </c>
      <c r="B66" s="76" t="s">
        <v>335</v>
      </c>
      <c r="C66" s="75" t="s">
        <v>336</v>
      </c>
      <c r="D66" s="76" t="s">
        <v>337</v>
      </c>
      <c r="E66" s="75" t="s">
        <v>236</v>
      </c>
      <c r="F66" s="75" t="s">
        <v>223</v>
      </c>
      <c r="G66" s="77">
        <v>45533.37222222222</v>
      </c>
      <c r="H66" s="77">
        <v>45538.598611111112</v>
      </c>
      <c r="I66" s="79">
        <v>3.2266087962962962</v>
      </c>
      <c r="J66" s="78">
        <v>2.0833333333333332E-2</v>
      </c>
      <c r="K66" s="75" t="s">
        <v>224</v>
      </c>
    </row>
    <row r="67" spans="1:11" ht="57.6" x14ac:dyDescent="0.3">
      <c r="A67" s="75">
        <v>2549</v>
      </c>
      <c r="B67" s="76" t="s">
        <v>338</v>
      </c>
      <c r="C67" s="75" t="s">
        <v>339</v>
      </c>
      <c r="D67" s="76" t="s">
        <v>340</v>
      </c>
      <c r="E67" s="75" t="s">
        <v>236</v>
      </c>
      <c r="F67" s="75" t="s">
        <v>223</v>
      </c>
      <c r="G67" s="77">
        <v>45533.460416666669</v>
      </c>
      <c r="H67" s="77">
        <v>45533.557638888888</v>
      </c>
      <c r="I67" s="78">
        <v>9.7268518518518518E-2</v>
      </c>
      <c r="J67" s="78">
        <v>2.0833333333333332E-2</v>
      </c>
      <c r="K67" s="75" t="s">
        <v>224</v>
      </c>
    </row>
    <row r="68" spans="1:11" ht="28.8" x14ac:dyDescent="0.3">
      <c r="A68" s="75">
        <v>2563</v>
      </c>
      <c r="B68" s="76" t="s">
        <v>205</v>
      </c>
      <c r="C68" s="75" t="s">
        <v>332</v>
      </c>
      <c r="D68" s="76" t="s">
        <v>341</v>
      </c>
      <c r="E68" s="75" t="s">
        <v>236</v>
      </c>
      <c r="F68" s="75" t="s">
        <v>223</v>
      </c>
      <c r="G68" s="77">
        <v>45538.650694444441</v>
      </c>
      <c r="H68" s="77">
        <v>45539.886805555558</v>
      </c>
      <c r="I68" s="79">
        <v>1.2360532407407407</v>
      </c>
      <c r="J68" s="78">
        <v>4.0972222222222222E-2</v>
      </c>
      <c r="K68" s="75" t="s">
        <v>224</v>
      </c>
    </row>
    <row r="69" spans="1:11" ht="43.2" x14ac:dyDescent="0.3">
      <c r="A69" s="75">
        <v>2587</v>
      </c>
      <c r="B69" s="76" t="s">
        <v>110</v>
      </c>
      <c r="C69" s="75" t="s">
        <v>342</v>
      </c>
      <c r="D69" s="76" t="s">
        <v>343</v>
      </c>
      <c r="E69" s="75" t="s">
        <v>236</v>
      </c>
      <c r="F69" s="75" t="s">
        <v>223</v>
      </c>
      <c r="G69" s="77">
        <v>45546.758333333331</v>
      </c>
      <c r="H69" s="77">
        <v>45548.615277777775</v>
      </c>
      <c r="I69" s="79">
        <v>1.8564467592592593</v>
      </c>
      <c r="J69" s="78">
        <v>2.0833333333333332E-2</v>
      </c>
      <c r="K69" s="75" t="s">
        <v>224</v>
      </c>
    </row>
    <row r="70" spans="1:11" x14ac:dyDescent="0.3">
      <c r="A70" s="75">
        <v>2588</v>
      </c>
      <c r="B70" s="76" t="s">
        <v>255</v>
      </c>
      <c r="C70" s="75" t="s">
        <v>344</v>
      </c>
      <c r="D70" s="76" t="s">
        <v>345</v>
      </c>
      <c r="E70" s="75" t="s">
        <v>346</v>
      </c>
      <c r="F70" s="75" t="s">
        <v>223</v>
      </c>
      <c r="G70" s="77">
        <v>45546.760416666664</v>
      </c>
      <c r="H70" s="75" t="s">
        <v>347</v>
      </c>
      <c r="I70" s="78">
        <v>0</v>
      </c>
      <c r="J70" s="78">
        <v>0.20624999999999999</v>
      </c>
      <c r="K70" s="75" t="s">
        <v>220</v>
      </c>
    </row>
    <row r="71" spans="1:11" ht="43.2" x14ac:dyDescent="0.3">
      <c r="A71" s="75">
        <v>2596</v>
      </c>
      <c r="B71" s="76" t="s">
        <v>152</v>
      </c>
      <c r="C71" s="75" t="s">
        <v>301</v>
      </c>
      <c r="D71" s="76" t="s">
        <v>348</v>
      </c>
      <c r="E71" s="75" t="s">
        <v>236</v>
      </c>
      <c r="F71" s="75" t="s">
        <v>223</v>
      </c>
      <c r="G71" s="77">
        <v>45547.606249999997</v>
      </c>
      <c r="H71" s="77">
        <v>45561.638888888891</v>
      </c>
      <c r="I71" s="79">
        <v>10.03269675925926</v>
      </c>
      <c r="J71" s="78">
        <v>2.0833333333333332E-2</v>
      </c>
      <c r="K71" s="75" t="s">
        <v>224</v>
      </c>
    </row>
    <row r="72" spans="1:11" ht="43.2" x14ac:dyDescent="0.3">
      <c r="A72" s="75">
        <v>2597</v>
      </c>
      <c r="B72" s="76" t="s">
        <v>349</v>
      </c>
      <c r="C72" s="75" t="s">
        <v>350</v>
      </c>
      <c r="D72" s="76" t="s">
        <v>351</v>
      </c>
      <c r="E72" s="75" t="s">
        <v>236</v>
      </c>
      <c r="F72" s="75" t="s">
        <v>223</v>
      </c>
      <c r="G72" s="77">
        <v>45547.612500000003</v>
      </c>
      <c r="H72" s="77">
        <v>45548.436111111114</v>
      </c>
      <c r="I72" s="78">
        <v>0.8195486111111111</v>
      </c>
      <c r="J72" s="78">
        <v>2.0833333333333332E-2</v>
      </c>
      <c r="K72" s="75" t="s">
        <v>224</v>
      </c>
    </row>
    <row r="73" spans="1:11" ht="43.2" x14ac:dyDescent="0.3">
      <c r="A73" s="75">
        <v>2598</v>
      </c>
      <c r="B73" s="76" t="s">
        <v>349</v>
      </c>
      <c r="C73" s="75" t="s">
        <v>350</v>
      </c>
      <c r="D73" s="76" t="s">
        <v>352</v>
      </c>
      <c r="E73" s="75" t="s">
        <v>236</v>
      </c>
      <c r="F73" s="75" t="s">
        <v>223</v>
      </c>
      <c r="G73" s="77">
        <v>45547.614583333336</v>
      </c>
      <c r="H73" s="77">
        <v>45548.431250000001</v>
      </c>
      <c r="I73" s="78">
        <v>0.81699074074074074</v>
      </c>
      <c r="J73" s="78">
        <v>2.0833333333333332E-2</v>
      </c>
      <c r="K73" s="75" t="s">
        <v>224</v>
      </c>
    </row>
    <row r="74" spans="1:11" ht="43.2" x14ac:dyDescent="0.3">
      <c r="A74" s="75">
        <v>2599</v>
      </c>
      <c r="B74" s="76" t="s">
        <v>110</v>
      </c>
      <c r="C74" s="75" t="s">
        <v>315</v>
      </c>
      <c r="D74" s="76" t="s">
        <v>353</v>
      </c>
      <c r="E74" s="75" t="s">
        <v>236</v>
      </c>
      <c r="F74" s="75" t="s">
        <v>223</v>
      </c>
      <c r="G74" s="77">
        <v>45547.616666666669</v>
      </c>
      <c r="H74" s="77">
        <v>45551.353472222225</v>
      </c>
      <c r="I74" s="79">
        <v>1.4088657407407408</v>
      </c>
      <c r="J74" s="78">
        <v>2.0833333333333332E-2</v>
      </c>
      <c r="K74" s="75" t="s">
        <v>224</v>
      </c>
    </row>
    <row r="75" spans="1:11" ht="43.2" x14ac:dyDescent="0.3">
      <c r="A75" s="75">
        <v>2600</v>
      </c>
      <c r="B75" s="76" t="s">
        <v>110</v>
      </c>
      <c r="C75" s="75" t="s">
        <v>315</v>
      </c>
      <c r="D75" s="76" t="s">
        <v>354</v>
      </c>
      <c r="E75" s="75" t="s">
        <v>236</v>
      </c>
      <c r="F75" s="75" t="s">
        <v>223</v>
      </c>
      <c r="G75" s="77">
        <v>45547.618055555555</v>
      </c>
      <c r="H75" s="77">
        <v>45548.436805555553</v>
      </c>
      <c r="I75" s="78">
        <v>0.81873842592592594</v>
      </c>
      <c r="J75" s="78">
        <v>2.0833333333333332E-2</v>
      </c>
      <c r="K75" s="75" t="s">
        <v>224</v>
      </c>
    </row>
    <row r="76" spans="1:11" ht="57.6" x14ac:dyDescent="0.3">
      <c r="A76" s="75">
        <v>2604</v>
      </c>
      <c r="B76" s="76" t="s">
        <v>23</v>
      </c>
      <c r="C76" s="75" t="s">
        <v>243</v>
      </c>
      <c r="D76" s="76" t="s">
        <v>355</v>
      </c>
      <c r="E76" s="75" t="s">
        <v>236</v>
      </c>
      <c r="F76" s="75" t="s">
        <v>223</v>
      </c>
      <c r="G76" s="77">
        <v>45548.561111111114</v>
      </c>
      <c r="H76" s="77">
        <v>45588.73541666667</v>
      </c>
      <c r="I76" s="79">
        <v>28.174722222222222</v>
      </c>
      <c r="J76" s="78">
        <v>2.0833333333333332E-2</v>
      </c>
      <c r="K76" s="75" t="s">
        <v>224</v>
      </c>
    </row>
    <row r="77" spans="1:11" ht="57.6" x14ac:dyDescent="0.3">
      <c r="A77" s="75">
        <v>2605</v>
      </c>
      <c r="B77" s="76" t="s">
        <v>23</v>
      </c>
      <c r="C77" s="75" t="s">
        <v>243</v>
      </c>
      <c r="D77" s="76" t="s">
        <v>356</v>
      </c>
      <c r="E77" s="75" t="s">
        <v>236</v>
      </c>
      <c r="F77" s="75" t="s">
        <v>223</v>
      </c>
      <c r="G77" s="77">
        <v>45548.563194444447</v>
      </c>
      <c r="H77" s="77">
        <v>45588.734722222223</v>
      </c>
      <c r="I77" s="79">
        <v>28.171435185185185</v>
      </c>
      <c r="J77" s="78">
        <v>2.0833333333333332E-2</v>
      </c>
      <c r="K77" s="75" t="s">
        <v>224</v>
      </c>
    </row>
    <row r="78" spans="1:11" ht="57.6" x14ac:dyDescent="0.3">
      <c r="A78" s="75">
        <v>2606</v>
      </c>
      <c r="B78" s="76" t="s">
        <v>205</v>
      </c>
      <c r="C78" s="75" t="s">
        <v>292</v>
      </c>
      <c r="D78" s="76" t="s">
        <v>357</v>
      </c>
      <c r="E78" s="75" t="s">
        <v>236</v>
      </c>
      <c r="F78" s="75" t="s">
        <v>223</v>
      </c>
      <c r="G78" s="77">
        <v>45548.565972222219</v>
      </c>
      <c r="H78" s="77">
        <v>45555.511805555558</v>
      </c>
      <c r="I78" s="79">
        <v>4.9455787037037036</v>
      </c>
      <c r="J78" s="78">
        <v>2.0833333333333332E-2</v>
      </c>
      <c r="K78" s="75" t="s">
        <v>224</v>
      </c>
    </row>
    <row r="79" spans="1:11" ht="43.2" x14ac:dyDescent="0.3">
      <c r="A79" s="75">
        <v>2607</v>
      </c>
      <c r="B79" s="76" t="s">
        <v>110</v>
      </c>
      <c r="C79" s="75" t="s">
        <v>321</v>
      </c>
      <c r="D79" s="76" t="s">
        <v>358</v>
      </c>
      <c r="E79" s="75" t="s">
        <v>236</v>
      </c>
      <c r="F79" s="75" t="s">
        <v>223</v>
      </c>
      <c r="G79" s="77">
        <v>45551.478472222225</v>
      </c>
      <c r="H79" s="77">
        <v>45555.511805555558</v>
      </c>
      <c r="I79" s="79">
        <v>4.0338657407407403</v>
      </c>
      <c r="J79" s="78">
        <v>2.0833333333333332E-2</v>
      </c>
      <c r="K79" s="75" t="s">
        <v>224</v>
      </c>
    </row>
    <row r="80" spans="1:11" ht="43.2" x14ac:dyDescent="0.3">
      <c r="A80" s="75">
        <v>2617</v>
      </c>
      <c r="B80" s="76" t="s">
        <v>205</v>
      </c>
      <c r="C80" s="75" t="s">
        <v>332</v>
      </c>
      <c r="D80" s="76" t="s">
        <v>359</v>
      </c>
      <c r="E80" s="75" t="s">
        <v>236</v>
      </c>
      <c r="F80" s="75" t="s">
        <v>223</v>
      </c>
      <c r="G80" s="77">
        <v>45555.354861111111</v>
      </c>
      <c r="H80" s="77">
        <v>45555.575694444444</v>
      </c>
      <c r="I80" s="78">
        <v>0.2204861111111111</v>
      </c>
      <c r="J80" s="78">
        <v>2.0833333333333332E-2</v>
      </c>
      <c r="K80" s="75" t="s">
        <v>224</v>
      </c>
    </row>
    <row r="81" spans="1:11" ht="43.2" x14ac:dyDescent="0.3">
      <c r="A81" s="75">
        <v>2627</v>
      </c>
      <c r="B81" s="76" t="s">
        <v>23</v>
      </c>
      <c r="C81" s="75" t="s">
        <v>281</v>
      </c>
      <c r="D81" s="76" t="s">
        <v>360</v>
      </c>
      <c r="E81" s="75" t="s">
        <v>236</v>
      </c>
      <c r="F81" s="75" t="s">
        <v>223</v>
      </c>
      <c r="G81" s="77">
        <v>45561.64166666667</v>
      </c>
      <c r="H81" s="77">
        <v>45561.693055555559</v>
      </c>
      <c r="I81" s="78">
        <v>5.1157407407407408E-2</v>
      </c>
      <c r="J81" s="78">
        <v>2.0833333333333332E-2</v>
      </c>
      <c r="K81" s="75" t="s">
        <v>224</v>
      </c>
    </row>
    <row r="82" spans="1:11" ht="43.2" x14ac:dyDescent="0.3">
      <c r="A82" s="75">
        <v>2629</v>
      </c>
      <c r="B82" s="76" t="s">
        <v>361</v>
      </c>
      <c r="C82" s="75" t="s">
        <v>362</v>
      </c>
      <c r="D82" s="76" t="s">
        <v>363</v>
      </c>
      <c r="E82" s="75" t="s">
        <v>236</v>
      </c>
      <c r="F82" s="75" t="s">
        <v>223</v>
      </c>
      <c r="G82" s="77">
        <v>45561.737500000003</v>
      </c>
      <c r="H82" s="77">
        <v>45562.67291666667</v>
      </c>
      <c r="I82" s="78">
        <v>0.93589120370370371</v>
      </c>
      <c r="J82" s="78">
        <v>2.0833333333333332E-2</v>
      </c>
      <c r="K82" s="75" t="s">
        <v>232</v>
      </c>
    </row>
    <row r="83" spans="1:11" ht="43.2" x14ac:dyDescent="0.3">
      <c r="A83" s="75">
        <v>2630</v>
      </c>
      <c r="B83" s="76" t="s">
        <v>361</v>
      </c>
      <c r="C83" s="75" t="s">
        <v>362</v>
      </c>
      <c r="D83" s="76" t="s">
        <v>364</v>
      </c>
      <c r="E83" s="75" t="s">
        <v>236</v>
      </c>
      <c r="F83" s="75" t="s">
        <v>223</v>
      </c>
      <c r="G83" s="77">
        <v>45561.738194444442</v>
      </c>
      <c r="H83" s="77">
        <v>45562.670138888891</v>
      </c>
      <c r="I83" s="78">
        <v>0.93157407407407411</v>
      </c>
      <c r="J83" s="78">
        <v>2.0833333333333332E-2</v>
      </c>
      <c r="K83" s="75" t="s">
        <v>232</v>
      </c>
    </row>
    <row r="84" spans="1:11" ht="43.2" x14ac:dyDescent="0.3">
      <c r="A84" s="75">
        <v>2634</v>
      </c>
      <c r="B84" s="76" t="s">
        <v>110</v>
      </c>
      <c r="C84" s="75" t="s">
        <v>315</v>
      </c>
      <c r="D84" s="76" t="s">
        <v>365</v>
      </c>
      <c r="E84" s="75" t="s">
        <v>236</v>
      </c>
      <c r="F84" s="75" t="s">
        <v>223</v>
      </c>
      <c r="G84" s="77">
        <v>45566.370833333334</v>
      </c>
      <c r="H84" s="77">
        <v>45567.546527777777</v>
      </c>
      <c r="I84" s="79">
        <v>1.1756134259259259</v>
      </c>
      <c r="J84" s="78">
        <v>2.0833333333333332E-2</v>
      </c>
      <c r="K84" s="75" t="s">
        <v>224</v>
      </c>
    </row>
    <row r="85" spans="1:11" ht="43.2" x14ac:dyDescent="0.3">
      <c r="A85" s="75">
        <v>2635</v>
      </c>
      <c r="B85" s="76" t="s">
        <v>361</v>
      </c>
      <c r="C85" s="75" t="s">
        <v>362</v>
      </c>
      <c r="D85" s="76" t="s">
        <v>366</v>
      </c>
      <c r="E85" s="75" t="s">
        <v>236</v>
      </c>
      <c r="F85" s="75" t="s">
        <v>223</v>
      </c>
      <c r="G85" s="77">
        <v>45566.371527777781</v>
      </c>
      <c r="H85" s="77">
        <v>45567.545138888891</v>
      </c>
      <c r="I85" s="79">
        <v>1.1731712962962964</v>
      </c>
      <c r="J85" s="78">
        <v>2.0833333333333332E-2</v>
      </c>
      <c r="K85" s="75" t="s">
        <v>224</v>
      </c>
    </row>
    <row r="86" spans="1:11" ht="43.2" x14ac:dyDescent="0.3">
      <c r="A86" s="75">
        <v>2636</v>
      </c>
      <c r="B86" s="76" t="s">
        <v>367</v>
      </c>
      <c r="C86" s="75" t="s">
        <v>368</v>
      </c>
      <c r="D86" s="76" t="s">
        <v>369</v>
      </c>
      <c r="E86" s="75" t="s">
        <v>236</v>
      </c>
      <c r="F86" s="75" t="s">
        <v>223</v>
      </c>
      <c r="G86" s="77">
        <v>45566.380555555559</v>
      </c>
      <c r="H86" s="77">
        <v>45569.356944444444</v>
      </c>
      <c r="I86" s="79">
        <v>2.9762847222222222</v>
      </c>
      <c r="J86" s="78">
        <v>2.0833333333333332E-2</v>
      </c>
      <c r="K86" s="75" t="s">
        <v>224</v>
      </c>
    </row>
    <row r="87" spans="1:11" ht="43.2" x14ac:dyDescent="0.3">
      <c r="A87" s="75">
        <v>2637</v>
      </c>
      <c r="B87" s="76" t="s">
        <v>160</v>
      </c>
      <c r="C87" s="75" t="s">
        <v>370</v>
      </c>
      <c r="D87" s="76" t="s">
        <v>371</v>
      </c>
      <c r="E87" s="75" t="s">
        <v>236</v>
      </c>
      <c r="F87" s="75" t="s">
        <v>223</v>
      </c>
      <c r="G87" s="77">
        <v>45567.359722222223</v>
      </c>
      <c r="H87" s="77">
        <v>45567.543749999997</v>
      </c>
      <c r="I87" s="78">
        <v>0.1844675925925926</v>
      </c>
      <c r="J87" s="78">
        <v>2.0833333333333332E-2</v>
      </c>
      <c r="K87" s="75" t="s">
        <v>224</v>
      </c>
    </row>
    <row r="88" spans="1:11" ht="43.2" x14ac:dyDescent="0.3">
      <c r="A88" s="75">
        <v>2639</v>
      </c>
      <c r="B88" s="76" t="s">
        <v>361</v>
      </c>
      <c r="C88" s="75" t="s">
        <v>362</v>
      </c>
      <c r="D88" s="76" t="s">
        <v>372</v>
      </c>
      <c r="E88" s="75" t="s">
        <v>236</v>
      </c>
      <c r="F88" s="75" t="s">
        <v>223</v>
      </c>
      <c r="G88" s="77">
        <v>45567.458333333336</v>
      </c>
      <c r="H88" s="77">
        <v>45567.542361111111</v>
      </c>
      <c r="I88" s="78">
        <v>8.3819444444444446E-2</v>
      </c>
      <c r="J88" s="78">
        <v>2.0833333333333332E-2</v>
      </c>
      <c r="K88" s="75" t="s">
        <v>224</v>
      </c>
    </row>
    <row r="89" spans="1:11" ht="43.2" x14ac:dyDescent="0.3">
      <c r="A89" s="75">
        <v>2640</v>
      </c>
      <c r="B89" s="76" t="s">
        <v>361</v>
      </c>
      <c r="C89" s="75" t="s">
        <v>362</v>
      </c>
      <c r="D89" s="76" t="s">
        <v>373</v>
      </c>
      <c r="E89" s="75" t="s">
        <v>236</v>
      </c>
      <c r="F89" s="75" t="s">
        <v>223</v>
      </c>
      <c r="G89" s="77">
        <v>45567.459722222222</v>
      </c>
      <c r="H89" s="77">
        <v>45567.540972222225</v>
      </c>
      <c r="I89" s="78">
        <v>8.1250000000000003E-2</v>
      </c>
      <c r="J89" s="78">
        <v>2.0833333333333332E-2</v>
      </c>
      <c r="K89" s="75" t="s">
        <v>224</v>
      </c>
    </row>
    <row r="90" spans="1:11" ht="43.2" x14ac:dyDescent="0.3">
      <c r="A90" s="75">
        <v>2644</v>
      </c>
      <c r="B90" s="76" t="s">
        <v>11</v>
      </c>
      <c r="C90" s="75" t="s">
        <v>374</v>
      </c>
      <c r="D90" s="76" t="s">
        <v>375</v>
      </c>
      <c r="E90" s="75" t="s">
        <v>236</v>
      </c>
      <c r="F90" s="75" t="s">
        <v>223</v>
      </c>
      <c r="G90" s="77">
        <v>45567.600694444445</v>
      </c>
      <c r="H90" s="77">
        <v>45575.435416666667</v>
      </c>
      <c r="I90" s="79">
        <v>5.8348611111111115</v>
      </c>
      <c r="J90" s="78">
        <v>2.0833333333333332E-2</v>
      </c>
      <c r="K90" s="75" t="s">
        <v>224</v>
      </c>
    </row>
    <row r="91" spans="1:11" ht="43.2" x14ac:dyDescent="0.3">
      <c r="A91" s="75">
        <v>2650</v>
      </c>
      <c r="B91" s="76" t="s">
        <v>110</v>
      </c>
      <c r="C91" s="75" t="s">
        <v>253</v>
      </c>
      <c r="D91" s="76" t="s">
        <v>376</v>
      </c>
      <c r="E91" s="75" t="s">
        <v>236</v>
      </c>
      <c r="F91" s="75" t="s">
        <v>223</v>
      </c>
      <c r="G91" s="77">
        <v>45569.359027777777</v>
      </c>
      <c r="H91" s="77">
        <v>45569.370138888888</v>
      </c>
      <c r="I91" s="78">
        <v>1.1388888888888889E-2</v>
      </c>
      <c r="J91" s="78">
        <v>2.0833333333333332E-2</v>
      </c>
      <c r="K91" s="75" t="s">
        <v>224</v>
      </c>
    </row>
    <row r="92" spans="1:11" ht="57.6" x14ac:dyDescent="0.3">
      <c r="A92" s="75">
        <v>2651</v>
      </c>
      <c r="B92" s="76" t="s">
        <v>377</v>
      </c>
      <c r="C92" s="75" t="s">
        <v>378</v>
      </c>
      <c r="D92" s="76" t="s">
        <v>379</v>
      </c>
      <c r="E92" s="75" t="s">
        <v>236</v>
      </c>
      <c r="F92" s="75" t="s">
        <v>223</v>
      </c>
      <c r="G92" s="77">
        <v>45569.365972222222</v>
      </c>
      <c r="H92" s="77">
        <v>45569.368055555555</v>
      </c>
      <c r="I92" s="78">
        <v>2.5462962962962965E-3</v>
      </c>
      <c r="J92" s="78">
        <v>2.0833333333333332E-2</v>
      </c>
      <c r="K92" s="75" t="s">
        <v>224</v>
      </c>
    </row>
    <row r="93" spans="1:11" ht="43.2" x14ac:dyDescent="0.3">
      <c r="A93" s="75">
        <v>2653</v>
      </c>
      <c r="B93" s="76" t="s">
        <v>160</v>
      </c>
      <c r="C93" s="75" t="s">
        <v>370</v>
      </c>
      <c r="D93" s="76" t="s">
        <v>380</v>
      </c>
      <c r="E93" s="75" t="s">
        <v>236</v>
      </c>
      <c r="F93" s="75" t="s">
        <v>223</v>
      </c>
      <c r="G93" s="77">
        <v>45572.402083333334</v>
      </c>
      <c r="H93" s="77">
        <v>45575.436111111114</v>
      </c>
      <c r="I93" s="79">
        <v>3.0341550925925924</v>
      </c>
      <c r="J93" s="78">
        <v>2.0833333333333332E-2</v>
      </c>
      <c r="K93" s="75" t="s">
        <v>232</v>
      </c>
    </row>
    <row r="94" spans="1:11" ht="43.2" x14ac:dyDescent="0.3">
      <c r="A94" s="75">
        <v>2663</v>
      </c>
      <c r="B94" s="76" t="s">
        <v>11</v>
      </c>
      <c r="C94" s="75" t="s">
        <v>381</v>
      </c>
      <c r="D94" s="76" t="s">
        <v>382</v>
      </c>
      <c r="E94" s="75" t="s">
        <v>236</v>
      </c>
      <c r="F94" s="75" t="s">
        <v>223</v>
      </c>
      <c r="G94" s="77">
        <v>45576.532638888886</v>
      </c>
      <c r="H94" s="77">
        <v>45576.54791666667</v>
      </c>
      <c r="I94" s="78">
        <v>1.5243055555555555E-2</v>
      </c>
      <c r="J94" s="78">
        <v>2.0833333333333332E-2</v>
      </c>
      <c r="K94" s="75" t="s">
        <v>224</v>
      </c>
    </row>
    <row r="95" spans="1:11" ht="43.2" x14ac:dyDescent="0.3">
      <c r="A95" s="75">
        <v>2664</v>
      </c>
      <c r="B95" s="76" t="s">
        <v>11</v>
      </c>
      <c r="C95" s="75" t="s">
        <v>381</v>
      </c>
      <c r="D95" s="76" t="s">
        <v>383</v>
      </c>
      <c r="E95" s="75" t="s">
        <v>236</v>
      </c>
      <c r="F95" s="75" t="s">
        <v>223</v>
      </c>
      <c r="G95" s="77">
        <v>45576.534722222219</v>
      </c>
      <c r="H95" s="77">
        <v>45576.549305555556</v>
      </c>
      <c r="I95" s="78">
        <v>1.4606481481481481E-2</v>
      </c>
      <c r="J95" s="78">
        <v>2.0833333333333332E-2</v>
      </c>
      <c r="K95" s="75" t="s">
        <v>224</v>
      </c>
    </row>
    <row r="96" spans="1:11" ht="43.2" x14ac:dyDescent="0.3">
      <c r="A96" s="75">
        <v>2669</v>
      </c>
      <c r="B96" s="76" t="s">
        <v>11</v>
      </c>
      <c r="C96" s="75" t="s">
        <v>381</v>
      </c>
      <c r="D96" s="76" t="s">
        <v>384</v>
      </c>
      <c r="E96" s="75" t="s">
        <v>236</v>
      </c>
      <c r="F96" s="75" t="s">
        <v>223</v>
      </c>
      <c r="G96" s="77">
        <v>45580.491666666669</v>
      </c>
      <c r="H96" s="77">
        <v>45580.495833333334</v>
      </c>
      <c r="I96" s="78">
        <v>4.6643518518518518E-3</v>
      </c>
      <c r="J96" s="78">
        <v>2.0833333333333332E-2</v>
      </c>
      <c r="K96" s="75" t="s">
        <v>224</v>
      </c>
    </row>
    <row r="97" spans="1:11" ht="43.2" x14ac:dyDescent="0.3">
      <c r="A97" s="75">
        <v>2670</v>
      </c>
      <c r="B97" s="76" t="s">
        <v>126</v>
      </c>
      <c r="C97" s="75" t="s">
        <v>385</v>
      </c>
      <c r="D97" s="76" t="s">
        <v>386</v>
      </c>
      <c r="E97" s="75" t="s">
        <v>236</v>
      </c>
      <c r="F97" s="75" t="s">
        <v>223</v>
      </c>
      <c r="G97" s="77">
        <v>45580.495138888888</v>
      </c>
      <c r="H97" s="77">
        <v>45580.495833333334</v>
      </c>
      <c r="I97" s="78">
        <v>5.6712962962962967E-4</v>
      </c>
      <c r="J97" s="78">
        <v>2.0833333333333332E-2</v>
      </c>
      <c r="K97" s="75" t="s">
        <v>224</v>
      </c>
    </row>
    <row r="98" spans="1:11" ht="28.8" x14ac:dyDescent="0.3">
      <c r="A98" s="75">
        <v>2675</v>
      </c>
      <c r="B98" s="76" t="s">
        <v>160</v>
      </c>
      <c r="C98" s="75" t="s">
        <v>387</v>
      </c>
      <c r="D98" s="76" t="s">
        <v>388</v>
      </c>
      <c r="E98" s="75" t="s">
        <v>236</v>
      </c>
      <c r="F98" s="75" t="s">
        <v>223</v>
      </c>
      <c r="G98" s="77">
        <v>45582.355555555558</v>
      </c>
      <c r="H98" s="77">
        <v>45583.34652777778</v>
      </c>
      <c r="I98" s="78">
        <v>0.99124999999999996</v>
      </c>
      <c r="J98" s="78">
        <v>2.0833333333333332E-2</v>
      </c>
      <c r="K98" s="75" t="s">
        <v>224</v>
      </c>
    </row>
    <row r="99" spans="1:11" ht="43.2" x14ac:dyDescent="0.3">
      <c r="A99" s="75">
        <v>2676</v>
      </c>
      <c r="B99" s="76" t="s">
        <v>389</v>
      </c>
      <c r="C99" s="75" t="s">
        <v>258</v>
      </c>
      <c r="D99" s="76" t="s">
        <v>390</v>
      </c>
      <c r="E99" s="75" t="s">
        <v>236</v>
      </c>
      <c r="F99" s="75" t="s">
        <v>223</v>
      </c>
      <c r="G99" s="77">
        <v>45582.359027777777</v>
      </c>
      <c r="H99" s="77">
        <v>45583.345833333333</v>
      </c>
      <c r="I99" s="78">
        <v>0.98701388888888886</v>
      </c>
      <c r="J99" s="78">
        <v>2.0833333333333332E-2</v>
      </c>
      <c r="K99" s="75" t="s">
        <v>224</v>
      </c>
    </row>
    <row r="100" spans="1:11" ht="28.8" x14ac:dyDescent="0.3">
      <c r="A100" s="75">
        <v>2678</v>
      </c>
      <c r="B100" s="76" t="s">
        <v>126</v>
      </c>
      <c r="C100" s="75" t="s">
        <v>391</v>
      </c>
      <c r="D100" s="76" t="s">
        <v>392</v>
      </c>
      <c r="E100" s="75" t="s">
        <v>236</v>
      </c>
      <c r="F100" s="75" t="s">
        <v>223</v>
      </c>
      <c r="G100" s="77">
        <v>45583.356249999997</v>
      </c>
      <c r="H100" s="77">
        <v>45583.688194444447</v>
      </c>
      <c r="I100" s="78">
        <v>0.33216435185185184</v>
      </c>
      <c r="J100" s="78">
        <v>2.0833333333333332E-2</v>
      </c>
      <c r="K100" s="75" t="s">
        <v>224</v>
      </c>
    </row>
    <row r="101" spans="1:11" ht="43.2" x14ac:dyDescent="0.3">
      <c r="A101" s="75">
        <v>2681</v>
      </c>
      <c r="B101" s="76" t="s">
        <v>110</v>
      </c>
      <c r="C101" s="75" t="s">
        <v>253</v>
      </c>
      <c r="D101" s="76" t="s">
        <v>393</v>
      </c>
      <c r="E101" s="75" t="s">
        <v>236</v>
      </c>
      <c r="F101" s="75" t="s">
        <v>223</v>
      </c>
      <c r="G101" s="77">
        <v>45583.384027777778</v>
      </c>
      <c r="H101" s="77">
        <v>45587.390277777777</v>
      </c>
      <c r="I101" s="79">
        <v>2.0065740740740741</v>
      </c>
      <c r="J101" s="78">
        <v>2.0833333333333332E-2</v>
      </c>
      <c r="K101" s="75" t="s">
        <v>224</v>
      </c>
    </row>
    <row r="102" spans="1:11" ht="28.8" x14ac:dyDescent="0.3">
      <c r="A102" s="75">
        <v>2685</v>
      </c>
      <c r="B102" s="76" t="s">
        <v>160</v>
      </c>
      <c r="C102" s="75" t="s">
        <v>387</v>
      </c>
      <c r="D102" s="76" t="s">
        <v>394</v>
      </c>
      <c r="E102" s="75" t="s">
        <v>236</v>
      </c>
      <c r="F102" s="75" t="s">
        <v>223</v>
      </c>
      <c r="G102" s="77">
        <v>45583.420138888891</v>
      </c>
      <c r="H102" s="77">
        <v>45583.431250000001</v>
      </c>
      <c r="I102" s="78">
        <v>1.1354166666666667E-2</v>
      </c>
      <c r="J102" s="78">
        <v>2.0833333333333332E-2</v>
      </c>
      <c r="K102" s="75" t="s">
        <v>224</v>
      </c>
    </row>
    <row r="103" spans="1:11" ht="43.2" x14ac:dyDescent="0.3">
      <c r="A103" s="75">
        <v>2686</v>
      </c>
      <c r="B103" s="76" t="s">
        <v>11</v>
      </c>
      <c r="C103" s="75" t="s">
        <v>374</v>
      </c>
      <c r="D103" s="76" t="s">
        <v>395</v>
      </c>
      <c r="E103" s="75" t="s">
        <v>236</v>
      </c>
      <c r="F103" s="75" t="s">
        <v>223</v>
      </c>
      <c r="G103" s="77">
        <v>45583.422222222223</v>
      </c>
      <c r="H103" s="77">
        <v>45583.431250000001</v>
      </c>
      <c r="I103" s="78">
        <v>9.0740740740740747E-3</v>
      </c>
      <c r="J103" s="78">
        <v>2.0833333333333332E-2</v>
      </c>
      <c r="K103" s="75" t="s">
        <v>224</v>
      </c>
    </row>
    <row r="104" spans="1:11" ht="28.8" x14ac:dyDescent="0.3">
      <c r="A104" s="75">
        <v>2695</v>
      </c>
      <c r="B104" s="76" t="s">
        <v>396</v>
      </c>
      <c r="C104" s="75" t="s">
        <v>397</v>
      </c>
      <c r="D104" s="76" t="s">
        <v>398</v>
      </c>
      <c r="E104" s="75" t="s">
        <v>236</v>
      </c>
      <c r="F104" s="75" t="s">
        <v>223</v>
      </c>
      <c r="G104" s="77">
        <v>45551.475694444445</v>
      </c>
      <c r="H104" s="77">
        <v>45587.480555555558</v>
      </c>
      <c r="I104" s="79">
        <v>26.005150462962963</v>
      </c>
      <c r="J104" s="78">
        <v>2.0833333333333332E-2</v>
      </c>
      <c r="K104" s="75" t="s">
        <v>224</v>
      </c>
    </row>
    <row r="105" spans="1:11" ht="28.8" x14ac:dyDescent="0.3">
      <c r="A105" s="75">
        <v>2696</v>
      </c>
      <c r="B105" s="76" t="s">
        <v>396</v>
      </c>
      <c r="C105" s="75" t="s">
        <v>397</v>
      </c>
      <c r="D105" s="76" t="s">
        <v>399</v>
      </c>
      <c r="E105" s="75" t="s">
        <v>236</v>
      </c>
      <c r="F105" s="75" t="s">
        <v>223</v>
      </c>
      <c r="G105" s="77">
        <v>45551.476388888892</v>
      </c>
      <c r="H105" s="77">
        <v>45587.478472222225</v>
      </c>
      <c r="I105" s="79">
        <v>26.002349537037038</v>
      </c>
      <c r="J105" s="78">
        <v>2.0833333333333332E-2</v>
      </c>
      <c r="K105" s="75" t="s">
        <v>224</v>
      </c>
    </row>
    <row r="106" spans="1:11" ht="28.8" x14ac:dyDescent="0.3">
      <c r="A106" s="75">
        <v>2698</v>
      </c>
      <c r="B106" s="76" t="s">
        <v>400</v>
      </c>
      <c r="C106" s="75" t="s">
        <v>401</v>
      </c>
      <c r="D106" s="76" t="s">
        <v>402</v>
      </c>
      <c r="E106" s="75" t="s">
        <v>236</v>
      </c>
      <c r="F106" s="75" t="s">
        <v>223</v>
      </c>
      <c r="G106" s="77">
        <v>45588.635416666664</v>
      </c>
      <c r="H106" s="77">
        <v>45590.39166666667</v>
      </c>
      <c r="I106" s="79">
        <v>1.7563310185185186</v>
      </c>
      <c r="J106" s="78">
        <v>2.0833333333333332E-2</v>
      </c>
      <c r="K106" s="75" t="s">
        <v>224</v>
      </c>
    </row>
    <row r="107" spans="1:11" ht="28.8" x14ac:dyDescent="0.3">
      <c r="A107" s="75">
        <v>2699</v>
      </c>
      <c r="B107" s="76" t="s">
        <v>403</v>
      </c>
      <c r="C107" s="75" t="s">
        <v>401</v>
      </c>
      <c r="D107" s="76" t="s">
        <v>404</v>
      </c>
      <c r="E107" s="75" t="s">
        <v>236</v>
      </c>
      <c r="F107" s="75" t="s">
        <v>223</v>
      </c>
      <c r="G107" s="77">
        <v>45588.636805555558</v>
      </c>
      <c r="H107" s="77">
        <v>45590.383333333331</v>
      </c>
      <c r="I107" s="79">
        <v>1.7468171296296295</v>
      </c>
      <c r="J107" s="78">
        <v>2.0833333333333332E-2</v>
      </c>
      <c r="K107" s="75" t="s">
        <v>224</v>
      </c>
    </row>
    <row r="108" spans="1:11" ht="28.8" x14ac:dyDescent="0.3">
      <c r="A108" s="75">
        <v>2700</v>
      </c>
      <c r="B108" s="76" t="s">
        <v>405</v>
      </c>
      <c r="C108" s="75" t="s">
        <v>401</v>
      </c>
      <c r="D108" s="76" t="s">
        <v>406</v>
      </c>
      <c r="E108" s="75" t="s">
        <v>236</v>
      </c>
      <c r="F108" s="75" t="s">
        <v>223</v>
      </c>
      <c r="G108" s="77">
        <v>45588.637499999997</v>
      </c>
      <c r="H108" s="77">
        <v>45590.393750000003</v>
      </c>
      <c r="I108" s="79">
        <v>1.7565625</v>
      </c>
      <c r="J108" s="78">
        <v>2.0833333333333332E-2</v>
      </c>
      <c r="K108" s="75" t="s">
        <v>224</v>
      </c>
    </row>
    <row r="109" spans="1:11" ht="28.8" x14ac:dyDescent="0.3">
      <c r="A109" s="75">
        <v>2701</v>
      </c>
      <c r="B109" s="76" t="s">
        <v>407</v>
      </c>
      <c r="C109" s="75" t="s">
        <v>401</v>
      </c>
      <c r="D109" s="76" t="s">
        <v>408</v>
      </c>
      <c r="E109" s="75" t="s">
        <v>236</v>
      </c>
      <c r="F109" s="75" t="s">
        <v>223</v>
      </c>
      <c r="G109" s="77">
        <v>45588.638194444444</v>
      </c>
      <c r="H109" s="77">
        <v>45590.384722222225</v>
      </c>
      <c r="I109" s="79">
        <v>1.7463425925925926</v>
      </c>
      <c r="J109" s="78">
        <v>2.0833333333333332E-2</v>
      </c>
      <c r="K109" s="75" t="s">
        <v>224</v>
      </c>
    </row>
    <row r="110" spans="1:11" ht="28.8" x14ac:dyDescent="0.3">
      <c r="A110" s="75">
        <v>2702</v>
      </c>
      <c r="B110" s="76" t="s">
        <v>409</v>
      </c>
      <c r="C110" s="75" t="s">
        <v>401</v>
      </c>
      <c r="D110" s="76" t="s">
        <v>410</v>
      </c>
      <c r="E110" s="75" t="s">
        <v>236</v>
      </c>
      <c r="F110" s="75" t="s">
        <v>223</v>
      </c>
      <c r="G110" s="77">
        <v>45588.638888888891</v>
      </c>
      <c r="H110" s="77">
        <v>45590.393055555556</v>
      </c>
      <c r="I110" s="79">
        <v>1.7538541666666667</v>
      </c>
      <c r="J110" s="78">
        <v>2.0833333333333332E-2</v>
      </c>
      <c r="K110" s="75" t="s">
        <v>224</v>
      </c>
    </row>
    <row r="111" spans="1:11" ht="28.8" x14ac:dyDescent="0.3">
      <c r="A111" s="75">
        <v>2703</v>
      </c>
      <c r="B111" s="76" t="s">
        <v>411</v>
      </c>
      <c r="C111" s="75" t="s">
        <v>401</v>
      </c>
      <c r="D111" s="76" t="s">
        <v>412</v>
      </c>
      <c r="E111" s="75" t="s">
        <v>236</v>
      </c>
      <c r="F111" s="75" t="s">
        <v>223</v>
      </c>
      <c r="G111" s="77">
        <v>45588.63958333333</v>
      </c>
      <c r="H111" s="77">
        <v>45590.385416666664</v>
      </c>
      <c r="I111" s="79">
        <v>1.7456134259259259</v>
      </c>
      <c r="J111" s="78">
        <v>2.0833333333333332E-2</v>
      </c>
      <c r="K111" s="75" t="s">
        <v>224</v>
      </c>
    </row>
    <row r="112" spans="1:11" ht="28.8" x14ac:dyDescent="0.3">
      <c r="A112" s="75">
        <v>2704</v>
      </c>
      <c r="B112" s="76" t="s">
        <v>413</v>
      </c>
      <c r="C112" s="75" t="s">
        <v>401</v>
      </c>
      <c r="D112" s="76" t="s">
        <v>414</v>
      </c>
      <c r="E112" s="75" t="s">
        <v>236</v>
      </c>
      <c r="F112" s="75" t="s">
        <v>223</v>
      </c>
      <c r="G112" s="77">
        <v>45588.640972222223</v>
      </c>
      <c r="H112" s="77">
        <v>45590.375</v>
      </c>
      <c r="I112" s="79">
        <v>1.7345833333333334</v>
      </c>
      <c r="J112" s="78">
        <v>2.0833333333333332E-2</v>
      </c>
      <c r="K112" s="75" t="s">
        <v>224</v>
      </c>
    </row>
    <row r="113" spans="1:11" ht="28.8" x14ac:dyDescent="0.3">
      <c r="A113" s="75">
        <v>2705</v>
      </c>
      <c r="B113" s="76" t="s">
        <v>415</v>
      </c>
      <c r="C113" s="75" t="s">
        <v>401</v>
      </c>
      <c r="D113" s="76" t="s">
        <v>416</v>
      </c>
      <c r="E113" s="75" t="s">
        <v>236</v>
      </c>
      <c r="F113" s="75" t="s">
        <v>223</v>
      </c>
      <c r="G113" s="77">
        <v>45588.64166666667</v>
      </c>
      <c r="H113" s="77">
        <v>45590.38958333333</v>
      </c>
      <c r="I113" s="79">
        <v>1.7485532407407407</v>
      </c>
      <c r="J113" s="78">
        <v>2.0833333333333332E-2</v>
      </c>
      <c r="K113" s="75" t="s">
        <v>224</v>
      </c>
    </row>
    <row r="114" spans="1:11" ht="28.8" x14ac:dyDescent="0.3">
      <c r="A114" s="75">
        <v>2706</v>
      </c>
      <c r="B114" s="76" t="s">
        <v>417</v>
      </c>
      <c r="C114" s="75" t="s">
        <v>401</v>
      </c>
      <c r="D114" s="76" t="s">
        <v>418</v>
      </c>
      <c r="E114" s="75" t="s">
        <v>236</v>
      </c>
      <c r="F114" s="75" t="s">
        <v>223</v>
      </c>
      <c r="G114" s="77">
        <v>45588.642361111109</v>
      </c>
      <c r="H114" s="77">
        <v>45590.376388888886</v>
      </c>
      <c r="I114" s="79">
        <v>1.7343055555555555</v>
      </c>
      <c r="J114" s="78">
        <v>2.0833333333333332E-2</v>
      </c>
      <c r="K114" s="75" t="s">
        <v>224</v>
      </c>
    </row>
    <row r="115" spans="1:11" ht="28.8" x14ac:dyDescent="0.3">
      <c r="A115" s="75">
        <v>2707</v>
      </c>
      <c r="B115" s="76" t="s">
        <v>419</v>
      </c>
      <c r="C115" s="75" t="s">
        <v>401</v>
      </c>
      <c r="D115" s="76" t="s">
        <v>420</v>
      </c>
      <c r="E115" s="75" t="s">
        <v>236</v>
      </c>
      <c r="F115" s="75" t="s">
        <v>223</v>
      </c>
      <c r="G115" s="77">
        <v>45588.643055555556</v>
      </c>
      <c r="H115" s="77">
        <v>45590.379861111112</v>
      </c>
      <c r="I115" s="79">
        <v>1.7366203703703704</v>
      </c>
      <c r="J115" s="78">
        <v>2.0833333333333332E-2</v>
      </c>
      <c r="K115" s="75" t="s">
        <v>224</v>
      </c>
    </row>
    <row r="116" spans="1:11" ht="28.8" x14ac:dyDescent="0.3">
      <c r="A116" s="75">
        <v>2708</v>
      </c>
      <c r="B116" s="76" t="s">
        <v>421</v>
      </c>
      <c r="C116" s="75" t="s">
        <v>401</v>
      </c>
      <c r="D116" s="76" t="s">
        <v>422</v>
      </c>
      <c r="E116" s="75" t="s">
        <v>236</v>
      </c>
      <c r="F116" s="75" t="s">
        <v>223</v>
      </c>
      <c r="G116" s="77">
        <v>45588.643750000003</v>
      </c>
      <c r="H116" s="77">
        <v>45590.390972222223</v>
      </c>
      <c r="I116" s="79">
        <v>1.7471527777777778</v>
      </c>
      <c r="J116" s="78">
        <v>2.0833333333333332E-2</v>
      </c>
      <c r="K116" s="75" t="s">
        <v>224</v>
      </c>
    </row>
    <row r="117" spans="1:11" ht="28.8" x14ac:dyDescent="0.3">
      <c r="A117" s="75">
        <v>2709</v>
      </c>
      <c r="B117" s="76" t="s">
        <v>423</v>
      </c>
      <c r="C117" s="75" t="s">
        <v>401</v>
      </c>
      <c r="D117" s="76" t="s">
        <v>424</v>
      </c>
      <c r="E117" s="75" t="s">
        <v>236</v>
      </c>
      <c r="F117" s="75" t="s">
        <v>223</v>
      </c>
      <c r="G117" s="77">
        <v>45588.645138888889</v>
      </c>
      <c r="H117" s="77">
        <v>45590.382638888892</v>
      </c>
      <c r="I117" s="79">
        <v>1.7375</v>
      </c>
      <c r="J117" s="78">
        <v>2.0833333333333332E-2</v>
      </c>
      <c r="K117" s="75" t="s">
        <v>224</v>
      </c>
    </row>
    <row r="118" spans="1:11" ht="43.2" x14ac:dyDescent="0.3">
      <c r="A118" s="75">
        <v>2710</v>
      </c>
      <c r="B118" s="76" t="s">
        <v>160</v>
      </c>
      <c r="C118" s="75" t="s">
        <v>387</v>
      </c>
      <c r="D118" s="76" t="s">
        <v>425</v>
      </c>
      <c r="E118" s="75" t="s">
        <v>236</v>
      </c>
      <c r="F118" s="75" t="s">
        <v>223</v>
      </c>
      <c r="G118" s="77">
        <v>45588.652777777781</v>
      </c>
      <c r="H118" s="77">
        <v>45597.545138888891</v>
      </c>
      <c r="I118" s="79">
        <v>6.8927777777777779</v>
      </c>
      <c r="J118" s="78">
        <v>2.0833333333333332E-2</v>
      </c>
      <c r="K118" s="75" t="s">
        <v>232</v>
      </c>
    </row>
    <row r="119" spans="1:11" ht="28.8" x14ac:dyDescent="0.3">
      <c r="A119" s="75">
        <v>2711</v>
      </c>
      <c r="B119" s="76" t="s">
        <v>160</v>
      </c>
      <c r="C119" s="75" t="s">
        <v>387</v>
      </c>
      <c r="D119" s="76" t="s">
        <v>426</v>
      </c>
      <c r="E119" s="75" t="s">
        <v>236</v>
      </c>
      <c r="F119" s="75" t="s">
        <v>223</v>
      </c>
      <c r="G119" s="77">
        <v>45588.654166666667</v>
      </c>
      <c r="H119" s="77">
        <v>45617.395833333336</v>
      </c>
      <c r="I119" s="79">
        <v>20.741342592592591</v>
      </c>
      <c r="J119" s="78">
        <v>2.0833333333333332E-2</v>
      </c>
      <c r="K119" s="75" t="s">
        <v>224</v>
      </c>
    </row>
    <row r="120" spans="1:11" ht="28.8" x14ac:dyDescent="0.3">
      <c r="A120" s="75">
        <v>2712</v>
      </c>
      <c r="B120" s="76" t="s">
        <v>160</v>
      </c>
      <c r="C120" s="75" t="s">
        <v>387</v>
      </c>
      <c r="D120" s="76" t="s">
        <v>427</v>
      </c>
      <c r="E120" s="75" t="s">
        <v>236</v>
      </c>
      <c r="F120" s="75" t="s">
        <v>223</v>
      </c>
      <c r="G120" s="77">
        <v>45588.658333333333</v>
      </c>
      <c r="H120" s="77">
        <v>45597.54583333333</v>
      </c>
      <c r="I120" s="79">
        <v>6.8877546296296295</v>
      </c>
      <c r="J120" s="78">
        <v>2.0833333333333332E-2</v>
      </c>
      <c r="K120" s="75" t="s">
        <v>232</v>
      </c>
    </row>
    <row r="121" spans="1:11" ht="28.8" x14ac:dyDescent="0.3">
      <c r="A121" s="75">
        <v>2716</v>
      </c>
      <c r="B121" s="76" t="s">
        <v>160</v>
      </c>
      <c r="C121" s="75" t="s">
        <v>428</v>
      </c>
      <c r="D121" s="76" t="s">
        <v>429</v>
      </c>
      <c r="E121" s="75" t="s">
        <v>236</v>
      </c>
      <c r="F121" s="75" t="s">
        <v>223</v>
      </c>
      <c r="G121" s="77">
        <v>45588.724999999999</v>
      </c>
      <c r="H121" s="77">
        <v>45617.38958333333</v>
      </c>
      <c r="I121" s="79">
        <v>20.664293981481482</v>
      </c>
      <c r="J121" s="78">
        <v>2.0833333333333332E-2</v>
      </c>
      <c r="K121" s="75" t="s">
        <v>224</v>
      </c>
    </row>
    <row r="122" spans="1:11" ht="28.8" x14ac:dyDescent="0.3">
      <c r="A122" s="75">
        <v>2717</v>
      </c>
      <c r="B122" s="76" t="s">
        <v>160</v>
      </c>
      <c r="C122" s="75" t="s">
        <v>430</v>
      </c>
      <c r="D122" s="76" t="s">
        <v>431</v>
      </c>
      <c r="E122" s="75" t="s">
        <v>236</v>
      </c>
      <c r="F122" s="75" t="s">
        <v>223</v>
      </c>
      <c r="G122" s="77">
        <v>45588.730555555558</v>
      </c>
      <c r="H122" s="77">
        <v>45597.544444444444</v>
      </c>
      <c r="I122" s="79">
        <v>6.8137384259259255</v>
      </c>
      <c r="J122" s="78">
        <v>2.0833333333333332E-2</v>
      </c>
      <c r="K122" s="75" t="s">
        <v>232</v>
      </c>
    </row>
    <row r="123" spans="1:11" x14ac:dyDescent="0.3">
      <c r="A123" s="75">
        <v>2720</v>
      </c>
      <c r="B123" s="76" t="s">
        <v>160</v>
      </c>
      <c r="C123" s="75" t="s">
        <v>387</v>
      </c>
      <c r="D123" s="76" t="s">
        <v>432</v>
      </c>
      <c r="E123" s="75" t="s">
        <v>236</v>
      </c>
      <c r="F123" s="75" t="s">
        <v>223</v>
      </c>
      <c r="G123" s="77">
        <v>45589.371527777781</v>
      </c>
      <c r="H123" s="77">
        <v>45590.588888888888</v>
      </c>
      <c r="I123" s="79">
        <v>1.2175462962962964</v>
      </c>
      <c r="J123" s="78">
        <v>2.0833333333333332E-2</v>
      </c>
      <c r="K123" s="75" t="s">
        <v>224</v>
      </c>
    </row>
    <row r="124" spans="1:11" ht="28.8" x14ac:dyDescent="0.3">
      <c r="A124" s="75">
        <v>2721</v>
      </c>
      <c r="B124" s="76" t="s">
        <v>205</v>
      </c>
      <c r="C124" s="75" t="s">
        <v>332</v>
      </c>
      <c r="D124" s="76" t="s">
        <v>433</v>
      </c>
      <c r="E124" s="75" t="s">
        <v>236</v>
      </c>
      <c r="F124" s="75" t="s">
        <v>223</v>
      </c>
      <c r="G124" s="77">
        <v>45589.421527777777</v>
      </c>
      <c r="H124" s="77">
        <v>45590.512499999997</v>
      </c>
      <c r="I124" s="79">
        <v>1.0907638888888889</v>
      </c>
      <c r="J124" s="78">
        <v>2.0833333333333332E-2</v>
      </c>
      <c r="K124" s="75" t="s">
        <v>224</v>
      </c>
    </row>
    <row r="125" spans="1:11" ht="28.8" x14ac:dyDescent="0.3">
      <c r="A125" s="75">
        <v>2724</v>
      </c>
      <c r="B125" s="76" t="s">
        <v>160</v>
      </c>
      <c r="C125" s="75" t="s">
        <v>387</v>
      </c>
      <c r="D125" s="76" t="s">
        <v>434</v>
      </c>
      <c r="E125" s="75" t="s">
        <v>236</v>
      </c>
      <c r="F125" s="75" t="s">
        <v>223</v>
      </c>
      <c r="G125" s="77">
        <v>45590.583333333336</v>
      </c>
      <c r="H125" s="77">
        <v>45594.474999999999</v>
      </c>
      <c r="I125" s="79">
        <v>1.8915277777777777</v>
      </c>
      <c r="J125" s="78">
        <v>2.0833333333333332E-2</v>
      </c>
      <c r="K125" s="75" t="s">
        <v>224</v>
      </c>
    </row>
    <row r="126" spans="1:11" ht="28.8" x14ac:dyDescent="0.3">
      <c r="A126" s="75">
        <v>2727</v>
      </c>
      <c r="B126" s="76" t="s">
        <v>160</v>
      </c>
      <c r="C126" s="75" t="s">
        <v>387</v>
      </c>
      <c r="D126" s="76" t="s">
        <v>435</v>
      </c>
      <c r="E126" s="75" t="s">
        <v>236</v>
      </c>
      <c r="F126" s="75" t="s">
        <v>223</v>
      </c>
      <c r="G126" s="77">
        <v>45594.48541666667</v>
      </c>
      <c r="H126" s="77">
        <v>45600.487500000003</v>
      </c>
      <c r="I126" s="79">
        <v>4.0014583333333329</v>
      </c>
      <c r="J126" s="78">
        <v>2.0833333333333332E-2</v>
      </c>
      <c r="K126" s="75" t="s">
        <v>224</v>
      </c>
    </row>
    <row r="127" spans="1:11" ht="28.8" x14ac:dyDescent="0.3">
      <c r="A127" s="75">
        <v>2728</v>
      </c>
      <c r="B127" s="76" t="s">
        <v>23</v>
      </c>
      <c r="C127" s="75" t="s">
        <v>436</v>
      </c>
      <c r="D127" s="76" t="s">
        <v>437</v>
      </c>
      <c r="E127" s="75" t="s">
        <v>236</v>
      </c>
      <c r="F127" s="75" t="s">
        <v>223</v>
      </c>
      <c r="G127" s="77">
        <v>45594.693749999999</v>
      </c>
      <c r="H127" s="77">
        <v>45595.65347222222</v>
      </c>
      <c r="I127" s="78">
        <v>0.95996527777777774</v>
      </c>
      <c r="J127" s="78">
        <v>2.0833333333333332E-2</v>
      </c>
      <c r="K127" s="75" t="s">
        <v>224</v>
      </c>
    </row>
    <row r="128" spans="1:11" x14ac:dyDescent="0.3">
      <c r="A128" s="75">
        <v>2729</v>
      </c>
      <c r="B128" s="76" t="s">
        <v>23</v>
      </c>
      <c r="C128" s="75" t="s">
        <v>436</v>
      </c>
      <c r="D128" s="76" t="s">
        <v>438</v>
      </c>
      <c r="E128" s="75" t="s">
        <v>236</v>
      </c>
      <c r="F128" s="75" t="s">
        <v>223</v>
      </c>
      <c r="G128" s="77">
        <v>45594.694444444445</v>
      </c>
      <c r="H128" s="77">
        <v>45595.654166666667</v>
      </c>
      <c r="I128" s="78">
        <v>0.95927083333333329</v>
      </c>
      <c r="J128" s="78">
        <v>2.0833333333333332E-2</v>
      </c>
      <c r="K128" s="75" t="s">
        <v>224</v>
      </c>
    </row>
    <row r="129" spans="1:11" ht="28.8" x14ac:dyDescent="0.3">
      <c r="A129" s="75">
        <v>2732</v>
      </c>
      <c r="B129" s="76" t="s">
        <v>255</v>
      </c>
      <c r="C129" s="75" t="s">
        <v>439</v>
      </c>
      <c r="D129" s="76" t="s">
        <v>440</v>
      </c>
      <c r="E129" s="75" t="s">
        <v>236</v>
      </c>
      <c r="F129" s="75" t="s">
        <v>223</v>
      </c>
      <c r="G129" s="77">
        <v>45595.65625</v>
      </c>
      <c r="H129" s="77">
        <v>45600.488194444442</v>
      </c>
      <c r="I129" s="79">
        <v>2.8314699074074072</v>
      </c>
      <c r="J129" s="78">
        <v>2.0833333333333332E-2</v>
      </c>
      <c r="K129" s="75" t="s">
        <v>224</v>
      </c>
    </row>
    <row r="130" spans="1:11" x14ac:dyDescent="0.3">
      <c r="A130" s="75">
        <v>2749</v>
      </c>
      <c r="B130" s="76" t="s">
        <v>441</v>
      </c>
      <c r="C130" s="75" t="s">
        <v>387</v>
      </c>
      <c r="D130" s="76" t="s">
        <v>442</v>
      </c>
      <c r="E130" s="75" t="s">
        <v>443</v>
      </c>
      <c r="F130" s="75" t="s">
        <v>444</v>
      </c>
      <c r="G130" s="77">
        <v>45600.743750000001</v>
      </c>
      <c r="H130" s="77">
        <v>45600.748611111114</v>
      </c>
      <c r="I130" s="78">
        <v>0</v>
      </c>
      <c r="J130" s="78">
        <v>2.0833333333333332E-2</v>
      </c>
      <c r="K130" s="75" t="s">
        <v>224</v>
      </c>
    </row>
    <row r="131" spans="1:11" ht="28.8" x14ac:dyDescent="0.3">
      <c r="A131" s="75">
        <v>2751</v>
      </c>
      <c r="B131" s="76" t="s">
        <v>126</v>
      </c>
      <c r="C131" s="75" t="s">
        <v>445</v>
      </c>
      <c r="D131" s="76" t="s">
        <v>446</v>
      </c>
      <c r="E131" s="75" t="s">
        <v>236</v>
      </c>
      <c r="F131" s="75" t="s">
        <v>223</v>
      </c>
      <c r="G131" s="77">
        <v>45601.70208333333</v>
      </c>
      <c r="H131" s="77">
        <v>45604.553472222222</v>
      </c>
      <c r="I131" s="79">
        <v>2.8518981481481482</v>
      </c>
      <c r="J131" s="78">
        <v>2.0833333333333332E-2</v>
      </c>
      <c r="K131" s="75" t="s">
        <v>232</v>
      </c>
    </row>
    <row r="132" spans="1:11" x14ac:dyDescent="0.3">
      <c r="A132" s="75">
        <v>2757</v>
      </c>
      <c r="B132" s="76" t="s">
        <v>361</v>
      </c>
      <c r="C132" s="75" t="s">
        <v>362</v>
      </c>
      <c r="D132" s="76" t="s">
        <v>447</v>
      </c>
      <c r="E132" s="75" t="s">
        <v>236</v>
      </c>
      <c r="F132" s="75" t="s">
        <v>448</v>
      </c>
      <c r="G132" s="77">
        <v>45604.554861111108</v>
      </c>
      <c r="H132" s="77">
        <v>45615.479861111111</v>
      </c>
      <c r="I132" s="78">
        <v>5.9016203703703703E-2</v>
      </c>
      <c r="J132" s="78">
        <v>2.0833333333333332E-2</v>
      </c>
      <c r="K132" s="75" t="s">
        <v>224</v>
      </c>
    </row>
    <row r="133" spans="1:11" ht="28.8" x14ac:dyDescent="0.3">
      <c r="A133" s="75">
        <v>2771</v>
      </c>
      <c r="B133" s="76" t="s">
        <v>205</v>
      </c>
      <c r="C133" s="75" t="s">
        <v>332</v>
      </c>
      <c r="D133" s="76" t="s">
        <v>449</v>
      </c>
      <c r="E133" s="75" t="s">
        <v>236</v>
      </c>
      <c r="F133" s="75" t="s">
        <v>448</v>
      </c>
      <c r="G133" s="77">
        <v>45611.425694444442</v>
      </c>
      <c r="H133" s="77">
        <v>45611.433333333334</v>
      </c>
      <c r="I133" s="78">
        <v>7.8472222222222224E-3</v>
      </c>
      <c r="J133" s="78">
        <v>2.0833333333333332E-2</v>
      </c>
      <c r="K133" s="75" t="s">
        <v>224</v>
      </c>
    </row>
    <row r="134" spans="1:11" ht="28.8" x14ac:dyDescent="0.3">
      <c r="A134" s="75">
        <v>2777</v>
      </c>
      <c r="B134" s="76" t="s">
        <v>110</v>
      </c>
      <c r="C134" s="75" t="s">
        <v>253</v>
      </c>
      <c r="D134" s="76" t="s">
        <v>450</v>
      </c>
      <c r="E134" s="75" t="s">
        <v>236</v>
      </c>
      <c r="F134" s="75" t="s">
        <v>448</v>
      </c>
      <c r="G134" s="77">
        <v>45614.425000000003</v>
      </c>
      <c r="H134" s="77">
        <v>45614.427083333336</v>
      </c>
      <c r="I134" s="78">
        <v>1.6782407407407408E-3</v>
      </c>
      <c r="J134" s="78">
        <v>2.0833333333333332E-2</v>
      </c>
      <c r="K134" s="75" t="s">
        <v>224</v>
      </c>
    </row>
    <row r="135" spans="1:11" ht="28.8" x14ac:dyDescent="0.3">
      <c r="A135" s="75">
        <v>2781</v>
      </c>
      <c r="B135" s="76" t="s">
        <v>110</v>
      </c>
      <c r="C135" s="75" t="s">
        <v>315</v>
      </c>
      <c r="D135" s="76" t="s">
        <v>451</v>
      </c>
      <c r="E135" s="75" t="s">
        <v>236</v>
      </c>
      <c r="F135" s="75" t="s">
        <v>448</v>
      </c>
      <c r="G135" s="77">
        <v>45615.447916666664</v>
      </c>
      <c r="H135" s="77">
        <v>45615.496527777781</v>
      </c>
      <c r="I135" s="78">
        <v>4.8472222222222222E-2</v>
      </c>
      <c r="J135" s="78">
        <v>2.0833333333333332E-2</v>
      </c>
      <c r="K135" s="75" t="s">
        <v>224</v>
      </c>
    </row>
    <row r="136" spans="1:11" x14ac:dyDescent="0.3">
      <c r="A136" s="75">
        <v>2783</v>
      </c>
      <c r="B136" s="76" t="s">
        <v>126</v>
      </c>
      <c r="C136" s="75" t="s">
        <v>452</v>
      </c>
      <c r="D136" s="76" t="s">
        <v>453</v>
      </c>
      <c r="E136" s="75" t="s">
        <v>236</v>
      </c>
      <c r="F136" s="75" t="s">
        <v>448</v>
      </c>
      <c r="G136" s="77">
        <v>45614.459722222222</v>
      </c>
      <c r="H136" s="77">
        <v>45615.480555555558</v>
      </c>
      <c r="I136" s="79">
        <v>1.0212847222222223</v>
      </c>
      <c r="J136" s="78">
        <v>2.0833333333333332E-2</v>
      </c>
      <c r="K136" s="75" t="s">
        <v>224</v>
      </c>
    </row>
    <row r="137" spans="1:11" ht="28.8" x14ac:dyDescent="0.3">
      <c r="A137" s="75">
        <v>2784</v>
      </c>
      <c r="B137" s="76" t="s">
        <v>23</v>
      </c>
      <c r="C137" s="75" t="s">
        <v>436</v>
      </c>
      <c r="D137" s="76" t="s">
        <v>454</v>
      </c>
      <c r="E137" s="75" t="s">
        <v>236</v>
      </c>
      <c r="F137" s="75" t="s">
        <v>448</v>
      </c>
      <c r="G137" s="77">
        <v>45602.461111111108</v>
      </c>
      <c r="H137" s="75" t="s">
        <v>347</v>
      </c>
      <c r="I137" s="78">
        <v>0</v>
      </c>
      <c r="J137" s="78">
        <v>2.0833333333333332E-2</v>
      </c>
      <c r="K137" s="75" t="s">
        <v>224</v>
      </c>
    </row>
    <row r="138" spans="1:11" ht="28.8" x14ac:dyDescent="0.3">
      <c r="A138" s="75">
        <v>2789</v>
      </c>
      <c r="B138" s="76" t="s">
        <v>110</v>
      </c>
      <c r="C138" s="75" t="s">
        <v>253</v>
      </c>
      <c r="D138" s="76" t="s">
        <v>455</v>
      </c>
      <c r="E138" s="75" t="s">
        <v>236</v>
      </c>
      <c r="F138" s="75" t="s">
        <v>448</v>
      </c>
      <c r="G138" s="77">
        <v>45617.600694444445</v>
      </c>
      <c r="H138" s="77">
        <v>45617.601388888892</v>
      </c>
      <c r="I138" s="78">
        <v>9.837962962962962E-4</v>
      </c>
      <c r="J138" s="78">
        <v>2.0833333333333332E-2</v>
      </c>
      <c r="K138" s="75" t="s">
        <v>224</v>
      </c>
    </row>
    <row r="139" spans="1:11" ht="28.8" x14ac:dyDescent="0.3">
      <c r="A139" s="75">
        <v>2795</v>
      </c>
      <c r="B139" s="76" t="s">
        <v>126</v>
      </c>
      <c r="C139" s="75" t="s">
        <v>456</v>
      </c>
      <c r="D139" s="76" t="s">
        <v>457</v>
      </c>
      <c r="E139" s="75" t="s">
        <v>236</v>
      </c>
      <c r="F139" s="75" t="s">
        <v>448</v>
      </c>
      <c r="G139" s="77">
        <v>45618.554166666669</v>
      </c>
      <c r="H139" s="77">
        <v>45629.433333333334</v>
      </c>
      <c r="I139" s="79">
        <v>6.8790624999999999</v>
      </c>
      <c r="J139" s="78">
        <v>2.0833333333333332E-2</v>
      </c>
      <c r="K139" s="75" t="s">
        <v>224</v>
      </c>
    </row>
    <row r="140" spans="1:11" x14ac:dyDescent="0.3">
      <c r="A140" s="75">
        <v>2810</v>
      </c>
      <c r="B140" s="76" t="s">
        <v>458</v>
      </c>
      <c r="C140" s="75" t="s">
        <v>374</v>
      </c>
      <c r="D140" s="76" t="s">
        <v>459</v>
      </c>
      <c r="E140" s="75" t="s">
        <v>236</v>
      </c>
      <c r="F140" s="75" t="s">
        <v>448</v>
      </c>
      <c r="G140" s="77">
        <v>45629.472222222219</v>
      </c>
      <c r="H140" s="77">
        <v>45629.712500000001</v>
      </c>
      <c r="I140" s="78">
        <v>0.24015046296296297</v>
      </c>
      <c r="J140" s="78">
        <v>2.0833333333333332E-2</v>
      </c>
      <c r="K140" s="75" t="s">
        <v>224</v>
      </c>
    </row>
    <row r="141" spans="1:11" ht="28.8" x14ac:dyDescent="0.3">
      <c r="A141" s="75">
        <v>2811</v>
      </c>
      <c r="B141" s="76" t="s">
        <v>458</v>
      </c>
      <c r="C141" s="75" t="s">
        <v>374</v>
      </c>
      <c r="D141" s="76" t="s">
        <v>460</v>
      </c>
      <c r="E141" s="75" t="s">
        <v>236</v>
      </c>
      <c r="F141" s="75" t="s">
        <v>448</v>
      </c>
      <c r="G141" s="77">
        <v>45629.473611111112</v>
      </c>
      <c r="H141" s="77">
        <v>45629.711805555555</v>
      </c>
      <c r="I141" s="78">
        <v>0.23800925925925925</v>
      </c>
      <c r="J141" s="78">
        <v>2.0833333333333332E-2</v>
      </c>
      <c r="K141" s="75" t="s">
        <v>224</v>
      </c>
    </row>
    <row r="142" spans="1:11" ht="28.8" x14ac:dyDescent="0.3">
      <c r="A142" s="75">
        <v>2820</v>
      </c>
      <c r="B142" s="76" t="s">
        <v>152</v>
      </c>
      <c r="C142" s="75" t="s">
        <v>461</v>
      </c>
      <c r="D142" s="76" t="s">
        <v>462</v>
      </c>
      <c r="E142" s="75" t="s">
        <v>236</v>
      </c>
      <c r="F142" s="75" t="s">
        <v>448</v>
      </c>
      <c r="G142" s="77">
        <v>45631.709722222222</v>
      </c>
      <c r="H142" s="77">
        <v>45631.710416666669</v>
      </c>
      <c r="I142" s="78">
        <v>7.291666666666667E-4</v>
      </c>
      <c r="J142" s="78">
        <v>2.0833333333333332E-2</v>
      </c>
      <c r="K142" s="75" t="s">
        <v>224</v>
      </c>
    </row>
    <row r="143" spans="1:11" ht="28.8" x14ac:dyDescent="0.3">
      <c r="A143" s="75">
        <v>2821</v>
      </c>
      <c r="B143" s="76" t="s">
        <v>110</v>
      </c>
      <c r="C143" s="75" t="s">
        <v>342</v>
      </c>
      <c r="D143" s="76" t="s">
        <v>463</v>
      </c>
      <c r="E143" s="75" t="s">
        <v>236</v>
      </c>
      <c r="F143" s="75" t="s">
        <v>448</v>
      </c>
      <c r="G143" s="77">
        <v>45631.711805555555</v>
      </c>
      <c r="H143" s="77">
        <v>45631.712500000001</v>
      </c>
      <c r="I143" s="78">
        <v>6.018518518518519E-4</v>
      </c>
      <c r="J143" s="78">
        <v>2.0833333333333332E-2</v>
      </c>
      <c r="K143" s="75" t="s">
        <v>224</v>
      </c>
    </row>
    <row r="144" spans="1:11" x14ac:dyDescent="0.3">
      <c r="A144" s="75">
        <v>2830</v>
      </c>
      <c r="B144" s="76" t="s">
        <v>126</v>
      </c>
      <c r="C144" s="75" t="s">
        <v>193</v>
      </c>
      <c r="D144" s="76" t="s">
        <v>464</v>
      </c>
      <c r="E144" s="75" t="s">
        <v>236</v>
      </c>
      <c r="F144" s="75" t="s">
        <v>448</v>
      </c>
      <c r="G144" s="77">
        <v>45635.70208333333</v>
      </c>
      <c r="H144" s="77">
        <v>45636.702777777777</v>
      </c>
      <c r="I144" s="79">
        <v>1.001261574074074</v>
      </c>
      <c r="J144" s="78">
        <v>2.0833333333333332E-2</v>
      </c>
      <c r="K144" s="75" t="s">
        <v>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70F7-820E-4FCD-8BEA-9EE7651C7E05}">
  <sheetPr>
    <tabColor rgb="FF46E8E8"/>
  </sheetPr>
  <dimension ref="A1:K134"/>
  <sheetViews>
    <sheetView topLeftCell="D1" workbookViewId="0">
      <pane ySplit="1" topLeftCell="A122" activePane="bottomLeft" state="frozen"/>
      <selection pane="bottomLeft" activeCell="H144" sqref="H144"/>
    </sheetView>
  </sheetViews>
  <sheetFormatPr defaultRowHeight="14.4" x14ac:dyDescent="0.3"/>
  <cols>
    <col min="2" max="2" width="59.88671875" customWidth="1"/>
    <col min="3" max="3" width="32" customWidth="1"/>
    <col min="4" max="5" width="25.33203125" customWidth="1"/>
    <col min="6" max="6" width="17.44140625" customWidth="1"/>
    <col min="7" max="7" width="40.5546875" customWidth="1"/>
    <col min="8" max="8" width="31.5546875" customWidth="1"/>
    <col min="9" max="9" width="12.109375" style="75" customWidth="1"/>
    <col min="10" max="10" width="17.88671875" customWidth="1"/>
    <col min="11" max="11" width="10.44140625" bestFit="1" customWidth="1"/>
  </cols>
  <sheetData>
    <row r="1" spans="1:10" x14ac:dyDescent="0.3">
      <c r="A1" s="8" t="s">
        <v>465</v>
      </c>
      <c r="B1" s="8" t="s">
        <v>0</v>
      </c>
      <c r="C1" s="8" t="s">
        <v>2</v>
      </c>
      <c r="D1" s="8" t="s">
        <v>1</v>
      </c>
      <c r="E1" s="66" t="s">
        <v>3</v>
      </c>
      <c r="F1" s="8" t="s">
        <v>4</v>
      </c>
      <c r="G1" s="8" t="s">
        <v>99</v>
      </c>
      <c r="H1" s="8" t="s">
        <v>5</v>
      </c>
      <c r="I1" s="73" t="s">
        <v>211</v>
      </c>
      <c r="J1" s="8" t="s">
        <v>466</v>
      </c>
    </row>
    <row r="2" spans="1:10" x14ac:dyDescent="0.3">
      <c r="A2" t="s">
        <v>467</v>
      </c>
      <c r="B2" t="s">
        <v>468</v>
      </c>
      <c r="C2" t="s">
        <v>52</v>
      </c>
      <c r="D2" t="s">
        <v>38</v>
      </c>
      <c r="E2">
        <v>1</v>
      </c>
      <c r="F2" s="24">
        <v>45665</v>
      </c>
      <c r="G2" t="s">
        <v>23</v>
      </c>
      <c r="H2" t="s">
        <v>23</v>
      </c>
      <c r="J2" s="14" t="s">
        <v>448</v>
      </c>
    </row>
    <row r="3" spans="1:10" x14ac:dyDescent="0.3">
      <c r="A3" t="s">
        <v>469</v>
      </c>
      <c r="B3" t="s">
        <v>470</v>
      </c>
      <c r="C3" t="s">
        <v>471</v>
      </c>
      <c r="D3" t="s">
        <v>38</v>
      </c>
      <c r="E3">
        <v>17</v>
      </c>
      <c r="F3" s="24">
        <v>45665</v>
      </c>
      <c r="G3" t="s">
        <v>23</v>
      </c>
      <c r="H3" t="s">
        <v>23</v>
      </c>
      <c r="J3" s="14" t="s">
        <v>448</v>
      </c>
    </row>
    <row r="4" spans="1:10" x14ac:dyDescent="0.3">
      <c r="A4" t="s">
        <v>472</v>
      </c>
      <c r="B4" t="s">
        <v>473</v>
      </c>
      <c r="C4" t="s">
        <v>471</v>
      </c>
      <c r="D4" t="s">
        <v>38</v>
      </c>
      <c r="E4">
        <v>10</v>
      </c>
      <c r="F4" s="24">
        <v>45665</v>
      </c>
      <c r="G4" t="s">
        <v>23</v>
      </c>
      <c r="H4" t="s">
        <v>23</v>
      </c>
      <c r="J4" s="14" t="s">
        <v>448</v>
      </c>
    </row>
    <row r="5" spans="1:10" x14ac:dyDescent="0.3">
      <c r="A5" t="s">
        <v>474</v>
      </c>
      <c r="B5" t="s">
        <v>475</v>
      </c>
      <c r="C5" t="s">
        <v>476</v>
      </c>
      <c r="D5" t="s">
        <v>38</v>
      </c>
      <c r="E5">
        <v>3</v>
      </c>
      <c r="F5" s="24">
        <v>45665</v>
      </c>
      <c r="G5" t="s">
        <v>23</v>
      </c>
      <c r="H5" t="s">
        <v>23</v>
      </c>
      <c r="J5" s="14" t="s">
        <v>448</v>
      </c>
    </row>
    <row r="6" spans="1:10" x14ac:dyDescent="0.3">
      <c r="A6" t="s">
        <v>477</v>
      </c>
      <c r="B6" t="s">
        <v>478</v>
      </c>
      <c r="C6" t="s">
        <v>479</v>
      </c>
      <c r="D6" t="s">
        <v>38</v>
      </c>
      <c r="E6">
        <v>5</v>
      </c>
      <c r="F6" s="24">
        <v>45665</v>
      </c>
      <c r="G6" t="s">
        <v>23</v>
      </c>
      <c r="H6" t="s">
        <v>23</v>
      </c>
      <c r="J6" s="14" t="s">
        <v>448</v>
      </c>
    </row>
    <row r="7" spans="1:10" x14ac:dyDescent="0.3">
      <c r="A7" t="s">
        <v>480</v>
      </c>
      <c r="B7" t="s">
        <v>481</v>
      </c>
      <c r="C7" t="s">
        <v>482</v>
      </c>
      <c r="D7" t="s">
        <v>38</v>
      </c>
      <c r="E7">
        <v>47</v>
      </c>
      <c r="F7" s="24">
        <v>45665</v>
      </c>
      <c r="G7" t="s">
        <v>23</v>
      </c>
      <c r="H7" t="s">
        <v>23</v>
      </c>
      <c r="J7" s="14" t="s">
        <v>448</v>
      </c>
    </row>
    <row r="8" spans="1:10" x14ac:dyDescent="0.3">
      <c r="A8" t="s">
        <v>483</v>
      </c>
      <c r="B8" t="s">
        <v>484</v>
      </c>
      <c r="C8" t="s">
        <v>52</v>
      </c>
      <c r="D8" t="s">
        <v>38</v>
      </c>
      <c r="E8">
        <v>1</v>
      </c>
      <c r="F8" s="24">
        <v>45680</v>
      </c>
      <c r="G8" t="s">
        <v>485</v>
      </c>
      <c r="H8" t="s">
        <v>486</v>
      </c>
      <c r="J8" s="81" t="s">
        <v>448</v>
      </c>
    </row>
    <row r="9" spans="1:10" ht="15" customHeight="1" x14ac:dyDescent="0.3">
      <c r="A9" t="s">
        <v>487</v>
      </c>
      <c r="B9" s="72" t="s">
        <v>488</v>
      </c>
      <c r="C9" t="s">
        <v>489</v>
      </c>
      <c r="D9" t="s">
        <v>38</v>
      </c>
      <c r="E9">
        <v>1</v>
      </c>
      <c r="F9" s="24">
        <v>45680</v>
      </c>
      <c r="G9" t="s">
        <v>485</v>
      </c>
      <c r="H9" t="s">
        <v>486</v>
      </c>
      <c r="J9" s="81" t="s">
        <v>448</v>
      </c>
    </row>
    <row r="10" spans="1:10" x14ac:dyDescent="0.3">
      <c r="A10" t="s">
        <v>490</v>
      </c>
      <c r="B10" t="s">
        <v>491</v>
      </c>
      <c r="C10" t="s">
        <v>491</v>
      </c>
      <c r="D10" t="s">
        <v>38</v>
      </c>
      <c r="E10">
        <v>3</v>
      </c>
      <c r="F10" s="24">
        <v>45680</v>
      </c>
      <c r="G10" t="s">
        <v>485</v>
      </c>
      <c r="H10" t="s">
        <v>486</v>
      </c>
      <c r="J10" s="81" t="s">
        <v>448</v>
      </c>
    </row>
    <row r="11" spans="1:10" x14ac:dyDescent="0.3">
      <c r="A11" t="s">
        <v>492</v>
      </c>
      <c r="B11" t="s">
        <v>493</v>
      </c>
      <c r="C11" t="s">
        <v>479</v>
      </c>
      <c r="D11" t="s">
        <v>38</v>
      </c>
      <c r="E11">
        <v>1</v>
      </c>
      <c r="F11" s="24">
        <v>45680</v>
      </c>
      <c r="G11" t="s">
        <v>485</v>
      </c>
      <c r="H11" t="s">
        <v>486</v>
      </c>
      <c r="J11" s="81" t="s">
        <v>448</v>
      </c>
    </row>
    <row r="12" spans="1:10" x14ac:dyDescent="0.3">
      <c r="A12" t="s">
        <v>494</v>
      </c>
      <c r="B12" t="s">
        <v>495</v>
      </c>
      <c r="C12" t="s">
        <v>476</v>
      </c>
      <c r="D12" t="s">
        <v>38</v>
      </c>
      <c r="E12">
        <v>1</v>
      </c>
      <c r="F12" s="24">
        <v>45680</v>
      </c>
      <c r="G12" t="s">
        <v>485</v>
      </c>
      <c r="H12" t="s">
        <v>486</v>
      </c>
      <c r="J12" s="81" t="s">
        <v>448</v>
      </c>
    </row>
    <row r="13" spans="1:10" x14ac:dyDescent="0.3">
      <c r="A13" t="s">
        <v>496</v>
      </c>
      <c r="B13" t="s">
        <v>497</v>
      </c>
      <c r="C13" t="s">
        <v>498</v>
      </c>
      <c r="D13" t="s">
        <v>34</v>
      </c>
      <c r="E13">
        <v>1</v>
      </c>
      <c r="F13" s="24">
        <v>45680</v>
      </c>
      <c r="G13" t="s">
        <v>485</v>
      </c>
      <c r="H13" t="s">
        <v>486</v>
      </c>
      <c r="J13" s="81" t="s">
        <v>448</v>
      </c>
    </row>
    <row r="14" spans="1:10" x14ac:dyDescent="0.3">
      <c r="A14" t="s">
        <v>499</v>
      </c>
      <c r="B14" t="s">
        <v>500</v>
      </c>
      <c r="C14" t="s">
        <v>501</v>
      </c>
      <c r="D14" t="s">
        <v>120</v>
      </c>
      <c r="E14">
        <v>1</v>
      </c>
      <c r="F14" s="24">
        <v>45685</v>
      </c>
      <c r="G14" t="s">
        <v>23</v>
      </c>
      <c r="H14" t="s">
        <v>23</v>
      </c>
      <c r="I14" s="75">
        <v>3012</v>
      </c>
      <c r="J14" t="s">
        <v>448</v>
      </c>
    </row>
    <row r="15" spans="1:10" x14ac:dyDescent="0.3">
      <c r="A15" t="s">
        <v>502</v>
      </c>
      <c r="B15" s="72" t="s">
        <v>503</v>
      </c>
      <c r="C15" t="s">
        <v>107</v>
      </c>
      <c r="D15" t="s">
        <v>9</v>
      </c>
      <c r="E15">
        <v>1</v>
      </c>
      <c r="F15" s="24">
        <v>45688</v>
      </c>
      <c r="G15" t="s">
        <v>23</v>
      </c>
      <c r="H15" t="s">
        <v>23</v>
      </c>
      <c r="I15" s="75">
        <v>3041</v>
      </c>
      <c r="J15" t="s">
        <v>448</v>
      </c>
    </row>
    <row r="16" spans="1:10" x14ac:dyDescent="0.3">
      <c r="A16" t="s">
        <v>504</v>
      </c>
      <c r="B16" t="s">
        <v>505</v>
      </c>
      <c r="C16" t="s">
        <v>112</v>
      </c>
      <c r="D16" t="s">
        <v>9</v>
      </c>
      <c r="E16">
        <v>1</v>
      </c>
      <c r="F16" s="24">
        <v>45688</v>
      </c>
      <c r="G16" t="s">
        <v>23</v>
      </c>
      <c r="H16" t="s">
        <v>23</v>
      </c>
      <c r="I16" s="75">
        <v>3041</v>
      </c>
      <c r="J16" t="s">
        <v>448</v>
      </c>
    </row>
    <row r="17" spans="1:10" x14ac:dyDescent="0.3">
      <c r="A17" t="s">
        <v>506</v>
      </c>
      <c r="B17" t="s">
        <v>507</v>
      </c>
      <c r="C17" t="s">
        <v>501</v>
      </c>
      <c r="D17" t="s">
        <v>120</v>
      </c>
      <c r="E17">
        <v>1</v>
      </c>
      <c r="F17" s="24">
        <v>45705</v>
      </c>
      <c r="G17" t="s">
        <v>127</v>
      </c>
      <c r="H17" t="s">
        <v>508</v>
      </c>
      <c r="I17" s="75">
        <v>3093</v>
      </c>
      <c r="J17" t="s">
        <v>448</v>
      </c>
    </row>
    <row r="18" spans="1:10" x14ac:dyDescent="0.3">
      <c r="A18" t="s">
        <v>509</v>
      </c>
      <c r="B18" t="s">
        <v>510</v>
      </c>
      <c r="C18" t="s">
        <v>165</v>
      </c>
      <c r="D18" t="s">
        <v>9</v>
      </c>
      <c r="E18">
        <v>12</v>
      </c>
      <c r="F18" s="24">
        <v>45720</v>
      </c>
      <c r="G18" t="s">
        <v>511</v>
      </c>
      <c r="H18" t="s">
        <v>361</v>
      </c>
      <c r="I18" s="75">
        <v>3166</v>
      </c>
      <c r="J18" t="s">
        <v>448</v>
      </c>
    </row>
    <row r="19" spans="1:10" x14ac:dyDescent="0.3">
      <c r="A19" t="s">
        <v>512</v>
      </c>
      <c r="B19" t="s">
        <v>513</v>
      </c>
      <c r="C19" t="s">
        <v>116</v>
      </c>
      <c r="D19" t="s">
        <v>117</v>
      </c>
      <c r="E19">
        <v>8</v>
      </c>
      <c r="F19" s="24">
        <v>45728</v>
      </c>
      <c r="G19" t="s">
        <v>25</v>
      </c>
      <c r="H19" t="s">
        <v>25</v>
      </c>
      <c r="I19" s="75" t="s">
        <v>514</v>
      </c>
      <c r="J19" t="s">
        <v>448</v>
      </c>
    </row>
    <row r="20" spans="1:10" x14ac:dyDescent="0.3">
      <c r="A20" t="s">
        <v>515</v>
      </c>
      <c r="B20" t="s">
        <v>516</v>
      </c>
      <c r="C20" t="s">
        <v>116</v>
      </c>
      <c r="D20" t="s">
        <v>117</v>
      </c>
      <c r="E20">
        <v>4</v>
      </c>
      <c r="F20" s="24">
        <v>45728</v>
      </c>
      <c r="G20" t="s">
        <v>25</v>
      </c>
      <c r="H20" t="s">
        <v>25</v>
      </c>
      <c r="I20" s="75" t="s">
        <v>514</v>
      </c>
      <c r="J20" t="s">
        <v>448</v>
      </c>
    </row>
    <row r="21" spans="1:10" x14ac:dyDescent="0.3">
      <c r="A21" t="s">
        <v>517</v>
      </c>
      <c r="B21" t="s">
        <v>518</v>
      </c>
      <c r="C21" t="s">
        <v>519</v>
      </c>
      <c r="D21" t="s">
        <v>117</v>
      </c>
      <c r="E21">
        <v>2</v>
      </c>
      <c r="F21" s="24">
        <v>45730</v>
      </c>
      <c r="G21" t="s">
        <v>25</v>
      </c>
      <c r="H21" t="s">
        <v>25</v>
      </c>
      <c r="I21" s="75" t="s">
        <v>520</v>
      </c>
      <c r="J21" t="s">
        <v>448</v>
      </c>
    </row>
    <row r="22" spans="1:10" x14ac:dyDescent="0.3">
      <c r="A22" t="s">
        <v>521</v>
      </c>
      <c r="B22" s="72" t="s">
        <v>522</v>
      </c>
      <c r="C22" t="s">
        <v>107</v>
      </c>
      <c r="D22" t="s">
        <v>9</v>
      </c>
      <c r="E22">
        <v>1</v>
      </c>
      <c r="F22" s="24">
        <v>45730</v>
      </c>
      <c r="G22" t="s">
        <v>523</v>
      </c>
      <c r="H22" t="s">
        <v>523</v>
      </c>
      <c r="J22" s="75" t="s">
        <v>524</v>
      </c>
    </row>
    <row r="23" spans="1:10" x14ac:dyDescent="0.3">
      <c r="A23" t="s">
        <v>525</v>
      </c>
      <c r="B23" t="s">
        <v>526</v>
      </c>
      <c r="C23" t="s">
        <v>112</v>
      </c>
      <c r="D23" t="s">
        <v>9</v>
      </c>
      <c r="E23">
        <v>2</v>
      </c>
      <c r="F23" s="24">
        <v>45733</v>
      </c>
      <c r="G23" t="s">
        <v>25</v>
      </c>
      <c r="H23" t="s">
        <v>25</v>
      </c>
      <c r="J23" s="75" t="s">
        <v>524</v>
      </c>
    </row>
    <row r="24" spans="1:10" x14ac:dyDescent="0.3">
      <c r="A24" t="s">
        <v>527</v>
      </c>
      <c r="B24" t="s">
        <v>526</v>
      </c>
      <c r="C24" t="s">
        <v>112</v>
      </c>
      <c r="D24" t="s">
        <v>9</v>
      </c>
      <c r="E24">
        <v>2</v>
      </c>
      <c r="F24" s="24">
        <v>45740</v>
      </c>
      <c r="G24" t="s">
        <v>25</v>
      </c>
      <c r="H24" t="s">
        <v>25</v>
      </c>
      <c r="J24" s="75" t="s">
        <v>524</v>
      </c>
    </row>
    <row r="25" spans="1:10" x14ac:dyDescent="0.3">
      <c r="A25" t="s">
        <v>528</v>
      </c>
      <c r="B25" t="s">
        <v>529</v>
      </c>
      <c r="C25" t="s">
        <v>530</v>
      </c>
      <c r="D25" t="s">
        <v>120</v>
      </c>
      <c r="E25">
        <v>5</v>
      </c>
      <c r="F25" s="24">
        <v>45750</v>
      </c>
      <c r="G25" t="s">
        <v>23</v>
      </c>
      <c r="H25" t="s">
        <v>23</v>
      </c>
      <c r="I25" s="75">
        <v>3677</v>
      </c>
      <c r="J25" t="s">
        <v>448</v>
      </c>
    </row>
    <row r="26" spans="1:10" x14ac:dyDescent="0.3">
      <c r="A26" t="s">
        <v>531</v>
      </c>
      <c r="B26" t="s">
        <v>532</v>
      </c>
      <c r="C26" t="s">
        <v>533</v>
      </c>
      <c r="D26" t="s">
        <v>120</v>
      </c>
      <c r="E26">
        <v>12</v>
      </c>
      <c r="F26" s="24">
        <v>45750</v>
      </c>
      <c r="G26" t="s">
        <v>23</v>
      </c>
      <c r="H26" t="s">
        <v>23</v>
      </c>
      <c r="I26" s="75">
        <v>3677</v>
      </c>
      <c r="J26" t="s">
        <v>448</v>
      </c>
    </row>
    <row r="27" spans="1:10" x14ac:dyDescent="0.3">
      <c r="A27" t="s">
        <v>534</v>
      </c>
      <c r="B27" t="s">
        <v>535</v>
      </c>
      <c r="C27" t="s">
        <v>112</v>
      </c>
      <c r="D27" t="s">
        <v>9</v>
      </c>
      <c r="E27">
        <v>1</v>
      </c>
      <c r="F27" s="24">
        <v>45750</v>
      </c>
      <c r="G27" t="s">
        <v>23</v>
      </c>
      <c r="H27" t="s">
        <v>23</v>
      </c>
      <c r="I27" s="75">
        <v>3679</v>
      </c>
      <c r="J27" t="s">
        <v>448</v>
      </c>
    </row>
    <row r="28" spans="1:10" x14ac:dyDescent="0.3">
      <c r="A28" t="s">
        <v>536</v>
      </c>
      <c r="B28" t="s">
        <v>537</v>
      </c>
      <c r="C28" t="s">
        <v>159</v>
      </c>
      <c r="D28" t="s">
        <v>9</v>
      </c>
      <c r="E28">
        <v>1</v>
      </c>
      <c r="F28" s="24">
        <v>45754</v>
      </c>
      <c r="G28" t="s">
        <v>29</v>
      </c>
      <c r="H28" t="s">
        <v>29</v>
      </c>
      <c r="I28" s="75">
        <v>3013</v>
      </c>
      <c r="J28" t="s">
        <v>448</v>
      </c>
    </row>
    <row r="29" spans="1:10" x14ac:dyDescent="0.3">
      <c r="A29" t="s">
        <v>538</v>
      </c>
      <c r="B29" t="s">
        <v>539</v>
      </c>
      <c r="C29" t="s">
        <v>489</v>
      </c>
      <c r="D29" t="s">
        <v>38</v>
      </c>
      <c r="E29">
        <v>1</v>
      </c>
      <c r="F29" s="24">
        <v>45769</v>
      </c>
      <c r="G29" t="s">
        <v>485</v>
      </c>
      <c r="H29" t="s">
        <v>486</v>
      </c>
      <c r="J29" s="75" t="s">
        <v>524</v>
      </c>
    </row>
    <row r="30" spans="1:10" x14ac:dyDescent="0.3">
      <c r="A30" t="s">
        <v>540</v>
      </c>
      <c r="B30" t="s">
        <v>541</v>
      </c>
      <c r="C30" t="s">
        <v>542</v>
      </c>
      <c r="D30" t="s">
        <v>43</v>
      </c>
      <c r="E30">
        <v>1</v>
      </c>
      <c r="F30" s="24">
        <v>45769</v>
      </c>
      <c r="G30" t="s">
        <v>485</v>
      </c>
      <c r="H30" t="s">
        <v>486</v>
      </c>
      <c r="J30" s="75" t="s">
        <v>524</v>
      </c>
    </row>
    <row r="31" spans="1:10" x14ac:dyDescent="0.3">
      <c r="A31" t="s">
        <v>543</v>
      </c>
      <c r="B31" t="s">
        <v>544</v>
      </c>
      <c r="C31" t="s">
        <v>545</v>
      </c>
      <c r="D31" t="s">
        <v>43</v>
      </c>
      <c r="E31">
        <v>1</v>
      </c>
      <c r="F31" s="24">
        <v>45769</v>
      </c>
      <c r="G31" t="s">
        <v>485</v>
      </c>
      <c r="H31" t="s">
        <v>486</v>
      </c>
      <c r="J31" s="75" t="s">
        <v>524</v>
      </c>
    </row>
    <row r="32" spans="1:10" x14ac:dyDescent="0.3">
      <c r="A32" t="s">
        <v>546</v>
      </c>
      <c r="B32" t="s">
        <v>547</v>
      </c>
      <c r="C32" t="s">
        <v>491</v>
      </c>
      <c r="D32" t="s">
        <v>38</v>
      </c>
      <c r="E32">
        <v>1</v>
      </c>
      <c r="F32" s="24">
        <v>45769</v>
      </c>
      <c r="G32" t="s">
        <v>485</v>
      </c>
      <c r="H32" t="s">
        <v>486</v>
      </c>
      <c r="J32" s="75" t="s">
        <v>524</v>
      </c>
    </row>
    <row r="33" spans="1:10" x14ac:dyDescent="0.3">
      <c r="A33" t="s">
        <v>548</v>
      </c>
      <c r="B33" t="s">
        <v>549</v>
      </c>
      <c r="C33" t="s">
        <v>549</v>
      </c>
      <c r="D33" t="s">
        <v>38</v>
      </c>
      <c r="E33">
        <v>1</v>
      </c>
      <c r="F33" s="24">
        <v>45769</v>
      </c>
      <c r="G33" t="s">
        <v>485</v>
      </c>
      <c r="H33" t="s">
        <v>486</v>
      </c>
      <c r="J33" s="75" t="s">
        <v>524</v>
      </c>
    </row>
    <row r="34" spans="1:10" x14ac:dyDescent="0.3">
      <c r="A34" t="s">
        <v>550</v>
      </c>
      <c r="B34" t="s">
        <v>551</v>
      </c>
      <c r="C34" t="s">
        <v>552</v>
      </c>
      <c r="D34" t="s">
        <v>34</v>
      </c>
      <c r="E34">
        <v>1</v>
      </c>
      <c r="F34" s="24">
        <v>45769</v>
      </c>
      <c r="G34" t="s">
        <v>485</v>
      </c>
      <c r="H34" t="s">
        <v>486</v>
      </c>
      <c r="J34" s="75" t="s">
        <v>524</v>
      </c>
    </row>
    <row r="35" spans="1:10" x14ac:dyDescent="0.3">
      <c r="A35" t="s">
        <v>553</v>
      </c>
      <c r="B35" t="s">
        <v>554</v>
      </c>
      <c r="C35" t="s">
        <v>555</v>
      </c>
      <c r="D35" t="s">
        <v>34</v>
      </c>
      <c r="E35">
        <v>1</v>
      </c>
      <c r="F35" s="24">
        <v>45769</v>
      </c>
      <c r="G35" t="s">
        <v>485</v>
      </c>
      <c r="H35" t="s">
        <v>486</v>
      </c>
      <c r="J35" s="75" t="s">
        <v>524</v>
      </c>
    </row>
    <row r="36" spans="1:10" x14ac:dyDescent="0.3">
      <c r="A36" t="s">
        <v>556</v>
      </c>
      <c r="B36" t="s">
        <v>557</v>
      </c>
      <c r="C36" t="s">
        <v>558</v>
      </c>
      <c r="D36" t="s">
        <v>43</v>
      </c>
      <c r="E36">
        <v>1</v>
      </c>
      <c r="F36" s="24">
        <v>45770</v>
      </c>
      <c r="G36" t="s">
        <v>485</v>
      </c>
      <c r="H36" t="s">
        <v>486</v>
      </c>
      <c r="J36" s="75" t="s">
        <v>524</v>
      </c>
    </row>
    <row r="37" spans="1:10" x14ac:dyDescent="0.3">
      <c r="A37" t="s">
        <v>559</v>
      </c>
      <c r="B37" t="s">
        <v>560</v>
      </c>
      <c r="C37" t="s">
        <v>561</v>
      </c>
      <c r="D37" t="s">
        <v>34</v>
      </c>
      <c r="E37">
        <v>1</v>
      </c>
      <c r="F37" s="24">
        <v>45771</v>
      </c>
      <c r="G37" t="s">
        <v>485</v>
      </c>
      <c r="H37" t="s">
        <v>486</v>
      </c>
      <c r="J37" s="75" t="s">
        <v>524</v>
      </c>
    </row>
    <row r="38" spans="1:10" x14ac:dyDescent="0.3">
      <c r="A38" t="s">
        <v>562</v>
      </c>
      <c r="B38" t="s">
        <v>522</v>
      </c>
      <c r="C38" t="s">
        <v>107</v>
      </c>
      <c r="D38" t="s">
        <v>9</v>
      </c>
      <c r="E38">
        <v>1</v>
      </c>
      <c r="F38" s="24">
        <v>45787</v>
      </c>
      <c r="G38" t="s">
        <v>563</v>
      </c>
      <c r="H38" t="s">
        <v>563</v>
      </c>
      <c r="J38" s="75" t="s">
        <v>524</v>
      </c>
    </row>
    <row r="39" spans="1:10" x14ac:dyDescent="0.3">
      <c r="A39" t="s">
        <v>564</v>
      </c>
      <c r="B39" t="s">
        <v>565</v>
      </c>
      <c r="C39" t="s">
        <v>566</v>
      </c>
      <c r="D39" t="s">
        <v>38</v>
      </c>
      <c r="E39">
        <v>1</v>
      </c>
      <c r="F39" s="24">
        <v>45796</v>
      </c>
      <c r="G39" t="s">
        <v>485</v>
      </c>
      <c r="H39" t="s">
        <v>486</v>
      </c>
      <c r="J39" s="75" t="s">
        <v>524</v>
      </c>
    </row>
    <row r="40" spans="1:10" x14ac:dyDescent="0.3">
      <c r="A40" t="s">
        <v>567</v>
      </c>
      <c r="B40" t="s">
        <v>568</v>
      </c>
      <c r="C40" t="s">
        <v>569</v>
      </c>
      <c r="D40" t="s">
        <v>570</v>
      </c>
      <c r="E40">
        <v>5</v>
      </c>
      <c r="F40" s="24">
        <v>45798</v>
      </c>
      <c r="G40" t="s">
        <v>30</v>
      </c>
      <c r="H40" t="s">
        <v>571</v>
      </c>
      <c r="J40" s="75" t="s">
        <v>524</v>
      </c>
    </row>
    <row r="41" spans="1:10" x14ac:dyDescent="0.3">
      <c r="A41" t="s">
        <v>572</v>
      </c>
      <c r="B41" t="s">
        <v>573</v>
      </c>
      <c r="C41" t="s">
        <v>116</v>
      </c>
      <c r="D41" t="s">
        <v>117</v>
      </c>
      <c r="E41">
        <v>4</v>
      </c>
      <c r="F41" s="24">
        <v>45798</v>
      </c>
      <c r="G41" t="s">
        <v>25</v>
      </c>
      <c r="H41" t="s">
        <v>25</v>
      </c>
      <c r="I41" s="34" t="s">
        <v>574</v>
      </c>
      <c r="J41" s="75" t="s">
        <v>524</v>
      </c>
    </row>
    <row r="42" spans="1:10" x14ac:dyDescent="0.3">
      <c r="A42" t="s">
        <v>575</v>
      </c>
      <c r="B42" t="s">
        <v>108</v>
      </c>
      <c r="C42" t="s">
        <v>109</v>
      </c>
      <c r="D42" t="s">
        <v>9</v>
      </c>
      <c r="E42">
        <v>1</v>
      </c>
      <c r="F42" s="24">
        <v>45799</v>
      </c>
      <c r="G42" t="s">
        <v>576</v>
      </c>
      <c r="H42" t="s">
        <v>576</v>
      </c>
      <c r="J42" t="s">
        <v>448</v>
      </c>
    </row>
    <row r="43" spans="1:10" x14ac:dyDescent="0.3">
      <c r="A43" t="s">
        <v>577</v>
      </c>
      <c r="B43" t="s">
        <v>578</v>
      </c>
      <c r="C43" t="s">
        <v>88</v>
      </c>
      <c r="D43" t="s">
        <v>117</v>
      </c>
      <c r="E43">
        <v>1</v>
      </c>
      <c r="F43" s="24">
        <v>45807</v>
      </c>
      <c r="G43" t="s">
        <v>25</v>
      </c>
      <c r="H43" t="s">
        <v>25</v>
      </c>
      <c r="I43" s="34" t="s">
        <v>574</v>
      </c>
      <c r="J43" t="s">
        <v>448</v>
      </c>
    </row>
    <row r="44" spans="1:10" x14ac:dyDescent="0.3">
      <c r="A44" t="s">
        <v>579</v>
      </c>
      <c r="B44" t="s">
        <v>580</v>
      </c>
      <c r="C44" t="s">
        <v>112</v>
      </c>
      <c r="D44" t="s">
        <v>9</v>
      </c>
      <c r="E44">
        <v>1</v>
      </c>
      <c r="F44" s="24">
        <v>45807</v>
      </c>
      <c r="G44" t="s">
        <v>25</v>
      </c>
      <c r="H44" t="s">
        <v>25</v>
      </c>
      <c r="I44" s="34" t="s">
        <v>581</v>
      </c>
      <c r="J44" t="s">
        <v>448</v>
      </c>
    </row>
    <row r="45" spans="1:10" x14ac:dyDescent="0.3">
      <c r="A45" t="s">
        <v>582</v>
      </c>
      <c r="B45" t="s">
        <v>583</v>
      </c>
      <c r="C45" t="s">
        <v>584</v>
      </c>
      <c r="D45" t="s">
        <v>38</v>
      </c>
      <c r="E45">
        <v>1</v>
      </c>
      <c r="F45" s="24">
        <v>45820</v>
      </c>
      <c r="G45" t="s">
        <v>585</v>
      </c>
      <c r="H45" t="s">
        <v>585</v>
      </c>
      <c r="I45" s="34" t="s">
        <v>586</v>
      </c>
      <c r="J45" t="s">
        <v>448</v>
      </c>
    </row>
    <row r="46" spans="1:10" x14ac:dyDescent="0.3">
      <c r="A46" t="s">
        <v>587</v>
      </c>
      <c r="B46" t="s">
        <v>588</v>
      </c>
      <c r="C46" t="s">
        <v>116</v>
      </c>
      <c r="D46" t="s">
        <v>117</v>
      </c>
      <c r="E46">
        <v>1</v>
      </c>
      <c r="F46" s="24">
        <v>45834</v>
      </c>
      <c r="G46" t="s">
        <v>11</v>
      </c>
      <c r="H46" t="s">
        <v>11</v>
      </c>
      <c r="J46" t="s">
        <v>524</v>
      </c>
    </row>
    <row r="47" spans="1:10" x14ac:dyDescent="0.3">
      <c r="A47" t="s">
        <v>589</v>
      </c>
      <c r="B47" t="s">
        <v>590</v>
      </c>
      <c r="C47" t="s">
        <v>35</v>
      </c>
      <c r="D47" t="s">
        <v>34</v>
      </c>
      <c r="E47">
        <v>1</v>
      </c>
      <c r="F47" s="24">
        <v>45841</v>
      </c>
      <c r="G47" t="s">
        <v>74</v>
      </c>
      <c r="H47" t="s">
        <v>591</v>
      </c>
      <c r="I47" s="34" t="s">
        <v>592</v>
      </c>
      <c r="J47" s="82" t="s">
        <v>448</v>
      </c>
    </row>
    <row r="48" spans="1:10" x14ac:dyDescent="0.3">
      <c r="A48" t="s">
        <v>593</v>
      </c>
      <c r="B48" t="s">
        <v>594</v>
      </c>
      <c r="C48" t="s">
        <v>35</v>
      </c>
      <c r="D48" t="s">
        <v>34</v>
      </c>
      <c r="E48">
        <v>1</v>
      </c>
      <c r="F48" s="24">
        <v>45841</v>
      </c>
      <c r="G48" t="s">
        <v>74</v>
      </c>
      <c r="H48" t="s">
        <v>591</v>
      </c>
      <c r="I48" s="34" t="s">
        <v>592</v>
      </c>
      <c r="J48" s="82" t="s">
        <v>448</v>
      </c>
    </row>
    <row r="49" spans="1:10" x14ac:dyDescent="0.3">
      <c r="A49" t="s">
        <v>595</v>
      </c>
      <c r="B49" t="s">
        <v>596</v>
      </c>
      <c r="C49" t="s">
        <v>35</v>
      </c>
      <c r="D49" t="s">
        <v>34</v>
      </c>
      <c r="E49">
        <v>1</v>
      </c>
      <c r="F49" s="24">
        <v>45841</v>
      </c>
      <c r="G49" t="s">
        <v>74</v>
      </c>
      <c r="H49" t="s">
        <v>591</v>
      </c>
      <c r="I49" s="34" t="s">
        <v>592</v>
      </c>
      <c r="J49" s="82" t="s">
        <v>448</v>
      </c>
    </row>
    <row r="50" spans="1:10" x14ac:dyDescent="0.3">
      <c r="A50" t="s">
        <v>597</v>
      </c>
      <c r="B50" s="83" t="s">
        <v>598</v>
      </c>
      <c r="C50" t="s">
        <v>599</v>
      </c>
      <c r="D50" t="s">
        <v>570</v>
      </c>
      <c r="E50">
        <v>1</v>
      </c>
      <c r="F50" s="24">
        <v>45842</v>
      </c>
      <c r="G50" t="s">
        <v>486</v>
      </c>
      <c r="H50" t="s">
        <v>486</v>
      </c>
      <c r="I50" s="34" t="s">
        <v>600</v>
      </c>
      <c r="J50" s="13" t="s">
        <v>448</v>
      </c>
    </row>
    <row r="51" spans="1:10" x14ac:dyDescent="0.3">
      <c r="A51" t="s">
        <v>601</v>
      </c>
      <c r="B51" t="s">
        <v>602</v>
      </c>
      <c r="C51" t="s">
        <v>603</v>
      </c>
      <c r="D51" t="s">
        <v>604</v>
      </c>
      <c r="E51">
        <v>1</v>
      </c>
      <c r="F51" s="24">
        <v>45842</v>
      </c>
      <c r="G51" t="s">
        <v>486</v>
      </c>
      <c r="H51" t="s">
        <v>486</v>
      </c>
      <c r="I51" s="34" t="s">
        <v>600</v>
      </c>
      <c r="J51" s="13" t="s">
        <v>448</v>
      </c>
    </row>
    <row r="52" spans="1:10" x14ac:dyDescent="0.3">
      <c r="A52" t="s">
        <v>605</v>
      </c>
      <c r="B52" t="s">
        <v>606</v>
      </c>
      <c r="C52" t="s">
        <v>607</v>
      </c>
      <c r="D52" t="s">
        <v>604</v>
      </c>
      <c r="E52">
        <v>1</v>
      </c>
      <c r="F52" s="24">
        <v>45842</v>
      </c>
      <c r="G52" t="s">
        <v>486</v>
      </c>
      <c r="H52" t="s">
        <v>486</v>
      </c>
      <c r="I52" s="34" t="s">
        <v>600</v>
      </c>
      <c r="J52" s="13" t="s">
        <v>448</v>
      </c>
    </row>
    <row r="53" spans="1:10" x14ac:dyDescent="0.3">
      <c r="A53" t="s">
        <v>608</v>
      </c>
      <c r="B53" t="s">
        <v>609</v>
      </c>
      <c r="C53" t="s">
        <v>489</v>
      </c>
      <c r="D53" t="s">
        <v>38</v>
      </c>
      <c r="E53">
        <v>1</v>
      </c>
      <c r="F53" s="24">
        <v>45842</v>
      </c>
      <c r="G53" t="s">
        <v>486</v>
      </c>
      <c r="H53" t="s">
        <v>486</v>
      </c>
      <c r="I53" s="34" t="s">
        <v>600</v>
      </c>
      <c r="J53" s="13" t="s">
        <v>448</v>
      </c>
    </row>
    <row r="54" spans="1:10" x14ac:dyDescent="0.3">
      <c r="A54" t="s">
        <v>610</v>
      </c>
      <c r="B54" t="s">
        <v>583</v>
      </c>
      <c r="C54" t="s">
        <v>584</v>
      </c>
      <c r="D54" t="s">
        <v>38</v>
      </c>
      <c r="E54">
        <v>1</v>
      </c>
      <c r="F54" s="24">
        <v>45842</v>
      </c>
      <c r="G54" t="s">
        <v>486</v>
      </c>
      <c r="H54" t="s">
        <v>486</v>
      </c>
      <c r="J54" t="s">
        <v>448</v>
      </c>
    </row>
    <row r="55" spans="1:10" x14ac:dyDescent="0.3">
      <c r="A55" t="s">
        <v>611</v>
      </c>
      <c r="B55" t="s">
        <v>612</v>
      </c>
      <c r="C55" t="s">
        <v>613</v>
      </c>
      <c r="D55" t="s">
        <v>117</v>
      </c>
      <c r="E55">
        <v>1</v>
      </c>
      <c r="F55" s="24">
        <v>45846</v>
      </c>
      <c r="G55" t="s">
        <v>25</v>
      </c>
      <c r="H55" t="s">
        <v>25</v>
      </c>
      <c r="I55" s="75" t="s">
        <v>614</v>
      </c>
      <c r="J55" t="s">
        <v>448</v>
      </c>
    </row>
    <row r="56" spans="1:10" x14ac:dyDescent="0.3">
      <c r="A56" t="s">
        <v>615</v>
      </c>
      <c r="B56" t="s">
        <v>616</v>
      </c>
      <c r="C56" t="s">
        <v>617</v>
      </c>
      <c r="D56" t="s">
        <v>117</v>
      </c>
      <c r="E56">
        <v>4</v>
      </c>
      <c r="F56" s="24">
        <v>45847</v>
      </c>
      <c r="G56" t="s">
        <v>25</v>
      </c>
      <c r="H56" t="s">
        <v>25</v>
      </c>
      <c r="I56" s="75" t="s">
        <v>618</v>
      </c>
      <c r="J56" t="s">
        <v>524</v>
      </c>
    </row>
    <row r="57" spans="1:10" x14ac:dyDescent="0.3">
      <c r="A57" t="s">
        <v>619</v>
      </c>
      <c r="B57" t="s">
        <v>620</v>
      </c>
      <c r="C57" t="s">
        <v>112</v>
      </c>
      <c r="D57" t="s">
        <v>9</v>
      </c>
      <c r="E57">
        <v>1</v>
      </c>
      <c r="F57" s="24">
        <v>45868</v>
      </c>
      <c r="G57" t="s">
        <v>25</v>
      </c>
      <c r="H57" t="s">
        <v>25</v>
      </c>
      <c r="I57" s="75" t="s">
        <v>621</v>
      </c>
      <c r="J57" t="s">
        <v>448</v>
      </c>
    </row>
    <row r="58" spans="1:10" x14ac:dyDescent="0.3">
      <c r="A58" t="s">
        <v>622</v>
      </c>
      <c r="B58" t="s">
        <v>596</v>
      </c>
      <c r="C58" t="s">
        <v>35</v>
      </c>
      <c r="D58" t="s">
        <v>34</v>
      </c>
      <c r="E58">
        <v>1</v>
      </c>
      <c r="F58" s="24">
        <v>45870</v>
      </c>
      <c r="G58" t="s">
        <v>25</v>
      </c>
      <c r="H58" t="s">
        <v>25</v>
      </c>
      <c r="I58" s="75" t="s">
        <v>623</v>
      </c>
      <c r="J58" t="s">
        <v>448</v>
      </c>
    </row>
    <row r="59" spans="1:10" x14ac:dyDescent="0.3">
      <c r="A59" t="s">
        <v>624</v>
      </c>
      <c r="B59" t="s">
        <v>625</v>
      </c>
      <c r="C59" t="s">
        <v>626</v>
      </c>
      <c r="D59" t="s">
        <v>570</v>
      </c>
      <c r="E59">
        <v>1</v>
      </c>
      <c r="F59" s="24">
        <v>45877</v>
      </c>
      <c r="G59" t="s">
        <v>486</v>
      </c>
      <c r="H59" t="s">
        <v>486</v>
      </c>
      <c r="I59" s="75" t="s">
        <v>627</v>
      </c>
      <c r="J59" t="s">
        <v>448</v>
      </c>
    </row>
    <row r="60" spans="1:10" x14ac:dyDescent="0.3">
      <c r="A60" t="s">
        <v>628</v>
      </c>
      <c r="B60" t="s">
        <v>629</v>
      </c>
      <c r="C60" t="s">
        <v>630</v>
      </c>
      <c r="D60" t="s">
        <v>34</v>
      </c>
      <c r="E60">
        <v>200</v>
      </c>
      <c r="F60" s="24">
        <v>45891</v>
      </c>
      <c r="G60" t="s">
        <v>511</v>
      </c>
      <c r="H60" t="s">
        <v>361</v>
      </c>
      <c r="I60" s="48" t="s">
        <v>631</v>
      </c>
      <c r="J60" t="s">
        <v>448</v>
      </c>
    </row>
    <row r="61" spans="1:10" x14ac:dyDescent="0.3">
      <c r="A61" t="s">
        <v>632</v>
      </c>
      <c r="B61" t="s">
        <v>522</v>
      </c>
      <c r="C61" t="s">
        <v>10</v>
      </c>
      <c r="D61" t="s">
        <v>9</v>
      </c>
      <c r="E61">
        <v>1</v>
      </c>
      <c r="F61" s="24">
        <v>45895</v>
      </c>
      <c r="G61" t="s">
        <v>633</v>
      </c>
      <c r="H61" t="s">
        <v>155</v>
      </c>
      <c r="J61" t="s">
        <v>524</v>
      </c>
    </row>
    <row r="62" spans="1:10" x14ac:dyDescent="0.3">
      <c r="A62" t="s">
        <v>634</v>
      </c>
      <c r="B62" t="s">
        <v>635</v>
      </c>
      <c r="C62" t="s">
        <v>636</v>
      </c>
      <c r="D62" t="s">
        <v>38</v>
      </c>
      <c r="E62">
        <v>1</v>
      </c>
      <c r="F62" s="24">
        <v>45915</v>
      </c>
      <c r="G62" t="s">
        <v>486</v>
      </c>
      <c r="H62" t="s">
        <v>486</v>
      </c>
      <c r="I62" s="75" t="s">
        <v>637</v>
      </c>
      <c r="J62" t="s">
        <v>448</v>
      </c>
    </row>
    <row r="63" spans="1:10" x14ac:dyDescent="0.3">
      <c r="A63" t="s">
        <v>638</v>
      </c>
      <c r="B63" t="s">
        <v>522</v>
      </c>
      <c r="C63" t="s">
        <v>10</v>
      </c>
      <c r="D63" t="s">
        <v>9</v>
      </c>
      <c r="E63">
        <v>1</v>
      </c>
      <c r="F63" s="24">
        <v>45922</v>
      </c>
      <c r="G63" t="s">
        <v>563</v>
      </c>
      <c r="H63" t="s">
        <v>563</v>
      </c>
      <c r="J63" t="s">
        <v>524</v>
      </c>
    </row>
    <row r="64" spans="1:10" x14ac:dyDescent="0.3">
      <c r="A64" t="s">
        <v>639</v>
      </c>
      <c r="B64" s="39" t="s">
        <v>640</v>
      </c>
      <c r="C64" t="s">
        <v>617</v>
      </c>
      <c r="D64" t="s">
        <v>117</v>
      </c>
      <c r="E64">
        <v>3</v>
      </c>
      <c r="F64" s="24">
        <v>45936</v>
      </c>
      <c r="G64" t="s">
        <v>25</v>
      </c>
      <c r="H64" t="s">
        <v>25</v>
      </c>
      <c r="J64" t="s">
        <v>524</v>
      </c>
    </row>
    <row r="65" spans="1:10" x14ac:dyDescent="0.3">
      <c r="A65" t="s">
        <v>641</v>
      </c>
      <c r="B65" t="s">
        <v>642</v>
      </c>
      <c r="C65" t="s">
        <v>643</v>
      </c>
      <c r="D65" t="s">
        <v>570</v>
      </c>
      <c r="E65">
        <v>13</v>
      </c>
      <c r="F65" s="24">
        <v>45938</v>
      </c>
      <c r="G65" t="s">
        <v>633</v>
      </c>
      <c r="H65" t="s">
        <v>644</v>
      </c>
      <c r="J65" t="s">
        <v>524</v>
      </c>
    </row>
    <row r="66" spans="1:10" x14ac:dyDescent="0.3">
      <c r="A66" t="s">
        <v>645</v>
      </c>
      <c r="B66" s="48" t="s">
        <v>646</v>
      </c>
      <c r="C66" t="s">
        <v>647</v>
      </c>
      <c r="D66" t="s">
        <v>570</v>
      </c>
      <c r="E66">
        <v>6</v>
      </c>
      <c r="F66" s="24">
        <v>45938</v>
      </c>
      <c r="G66" t="s">
        <v>633</v>
      </c>
      <c r="H66" t="s">
        <v>644</v>
      </c>
      <c r="J66" t="s">
        <v>524</v>
      </c>
    </row>
    <row r="67" spans="1:10" x14ac:dyDescent="0.3">
      <c r="A67" t="s">
        <v>648</v>
      </c>
      <c r="B67" t="s">
        <v>649</v>
      </c>
      <c r="C67" t="s">
        <v>650</v>
      </c>
      <c r="D67" t="s">
        <v>570</v>
      </c>
      <c r="E67">
        <v>17</v>
      </c>
      <c r="F67" s="24">
        <v>45938</v>
      </c>
      <c r="G67" t="s">
        <v>633</v>
      </c>
      <c r="H67" t="s">
        <v>644</v>
      </c>
      <c r="J67" t="s">
        <v>524</v>
      </c>
    </row>
    <row r="68" spans="1:10" x14ac:dyDescent="0.3">
      <c r="A68" t="s">
        <v>651</v>
      </c>
      <c r="B68" t="s">
        <v>652</v>
      </c>
      <c r="C68" t="s">
        <v>653</v>
      </c>
      <c r="D68" t="s">
        <v>570</v>
      </c>
      <c r="E68">
        <v>3</v>
      </c>
      <c r="F68" s="24">
        <v>45938</v>
      </c>
      <c r="G68" t="s">
        <v>633</v>
      </c>
      <c r="H68" t="s">
        <v>644</v>
      </c>
      <c r="J68" t="s">
        <v>524</v>
      </c>
    </row>
    <row r="69" spans="1:10" x14ac:dyDescent="0.3">
      <c r="A69" t="s">
        <v>654</v>
      </c>
      <c r="B69" t="s">
        <v>655</v>
      </c>
      <c r="C69" t="s">
        <v>656</v>
      </c>
      <c r="D69" t="s">
        <v>570</v>
      </c>
      <c r="E69">
        <v>3</v>
      </c>
      <c r="F69" s="24">
        <v>45938</v>
      </c>
      <c r="G69" t="s">
        <v>633</v>
      </c>
      <c r="H69" t="s">
        <v>644</v>
      </c>
      <c r="J69" t="s">
        <v>524</v>
      </c>
    </row>
    <row r="70" spans="1:10" x14ac:dyDescent="0.3">
      <c r="A70" t="s">
        <v>657</v>
      </c>
      <c r="B70" t="s">
        <v>658</v>
      </c>
      <c r="C70" t="s">
        <v>659</v>
      </c>
      <c r="D70" t="s">
        <v>570</v>
      </c>
      <c r="E70">
        <v>6</v>
      </c>
      <c r="F70" s="24">
        <v>45938</v>
      </c>
      <c r="G70" t="s">
        <v>633</v>
      </c>
      <c r="H70" t="s">
        <v>644</v>
      </c>
      <c r="J70" t="s">
        <v>524</v>
      </c>
    </row>
    <row r="71" spans="1:10" x14ac:dyDescent="0.3">
      <c r="A71" t="s">
        <v>660</v>
      </c>
      <c r="B71" t="s">
        <v>661</v>
      </c>
      <c r="C71" t="s">
        <v>662</v>
      </c>
      <c r="D71" t="s">
        <v>570</v>
      </c>
      <c r="E71">
        <v>3</v>
      </c>
      <c r="F71" s="24">
        <v>45938</v>
      </c>
      <c r="G71" t="s">
        <v>633</v>
      </c>
      <c r="H71" t="s">
        <v>644</v>
      </c>
      <c r="J71" t="s">
        <v>524</v>
      </c>
    </row>
    <row r="72" spans="1:10" x14ac:dyDescent="0.3">
      <c r="A72" t="s">
        <v>663</v>
      </c>
      <c r="B72" t="s">
        <v>664</v>
      </c>
      <c r="C72" t="s">
        <v>665</v>
      </c>
      <c r="D72" t="s">
        <v>570</v>
      </c>
      <c r="E72">
        <v>8</v>
      </c>
      <c r="F72" s="24">
        <v>45938</v>
      </c>
      <c r="G72" t="s">
        <v>633</v>
      </c>
      <c r="H72" t="s">
        <v>644</v>
      </c>
      <c r="J72" t="s">
        <v>524</v>
      </c>
    </row>
    <row r="73" spans="1:10" x14ac:dyDescent="0.3">
      <c r="A73" t="s">
        <v>666</v>
      </c>
      <c r="B73" t="s">
        <v>667</v>
      </c>
      <c r="C73" t="s">
        <v>668</v>
      </c>
      <c r="D73" t="s">
        <v>570</v>
      </c>
      <c r="E73">
        <v>9</v>
      </c>
      <c r="F73" s="24">
        <v>45938</v>
      </c>
      <c r="G73" t="s">
        <v>633</v>
      </c>
      <c r="H73" t="s">
        <v>644</v>
      </c>
      <c r="J73" t="s">
        <v>524</v>
      </c>
    </row>
    <row r="74" spans="1:10" x14ac:dyDescent="0.3">
      <c r="A74" t="s">
        <v>669</v>
      </c>
      <c r="B74" t="s">
        <v>670</v>
      </c>
      <c r="C74" t="s">
        <v>671</v>
      </c>
      <c r="D74" t="s">
        <v>570</v>
      </c>
      <c r="E74">
        <v>7</v>
      </c>
      <c r="F74" s="24">
        <v>45938</v>
      </c>
      <c r="G74" t="s">
        <v>633</v>
      </c>
      <c r="H74" t="s">
        <v>644</v>
      </c>
      <c r="J74" t="s">
        <v>524</v>
      </c>
    </row>
    <row r="75" spans="1:10" x14ac:dyDescent="0.3">
      <c r="A75" t="s">
        <v>672</v>
      </c>
      <c r="B75" t="s">
        <v>673</v>
      </c>
      <c r="C75" t="s">
        <v>671</v>
      </c>
      <c r="D75" t="s">
        <v>570</v>
      </c>
      <c r="E75">
        <v>2</v>
      </c>
      <c r="F75" s="24">
        <v>45938</v>
      </c>
      <c r="G75" t="s">
        <v>633</v>
      </c>
      <c r="H75" t="s">
        <v>644</v>
      </c>
      <c r="J75" t="s">
        <v>524</v>
      </c>
    </row>
    <row r="76" spans="1:10" x14ac:dyDescent="0.3">
      <c r="A76" t="s">
        <v>674</v>
      </c>
      <c r="B76" t="s">
        <v>675</v>
      </c>
      <c r="C76" t="s">
        <v>671</v>
      </c>
      <c r="D76" t="s">
        <v>570</v>
      </c>
      <c r="E76">
        <v>1</v>
      </c>
      <c r="F76" s="24">
        <v>45938</v>
      </c>
      <c r="G76" t="s">
        <v>633</v>
      </c>
      <c r="H76" t="s">
        <v>644</v>
      </c>
      <c r="J76" t="s">
        <v>524</v>
      </c>
    </row>
    <row r="77" spans="1:10" x14ac:dyDescent="0.3">
      <c r="A77" t="s">
        <v>676</v>
      </c>
      <c r="B77" t="s">
        <v>677</v>
      </c>
      <c r="C77" t="s">
        <v>671</v>
      </c>
      <c r="D77" t="s">
        <v>570</v>
      </c>
      <c r="E77">
        <v>2</v>
      </c>
      <c r="F77" s="24">
        <v>45938</v>
      </c>
      <c r="G77" t="s">
        <v>633</v>
      </c>
      <c r="H77" t="s">
        <v>644</v>
      </c>
      <c r="J77" t="s">
        <v>524</v>
      </c>
    </row>
    <row r="78" spans="1:10" x14ac:dyDescent="0.3">
      <c r="A78" t="s">
        <v>678</v>
      </c>
      <c r="B78" t="s">
        <v>679</v>
      </c>
      <c r="C78" t="s">
        <v>680</v>
      </c>
      <c r="D78" t="s">
        <v>570</v>
      </c>
      <c r="E78">
        <v>1</v>
      </c>
      <c r="F78" s="24">
        <v>45938</v>
      </c>
      <c r="G78" t="s">
        <v>633</v>
      </c>
      <c r="H78" t="s">
        <v>644</v>
      </c>
      <c r="J78" t="s">
        <v>524</v>
      </c>
    </row>
    <row r="79" spans="1:10" x14ac:dyDescent="0.3">
      <c r="A79" t="s">
        <v>681</v>
      </c>
      <c r="B79" s="90" t="s">
        <v>682</v>
      </c>
      <c r="C79" t="s">
        <v>665</v>
      </c>
      <c r="D79" t="s">
        <v>570</v>
      </c>
      <c r="E79">
        <v>1</v>
      </c>
      <c r="F79" s="24">
        <v>45938</v>
      </c>
      <c r="G79" t="s">
        <v>633</v>
      </c>
      <c r="H79" t="s">
        <v>644</v>
      </c>
      <c r="J79" t="s">
        <v>524</v>
      </c>
    </row>
    <row r="80" spans="1:10" x14ac:dyDescent="0.3">
      <c r="A80" t="s">
        <v>683</v>
      </c>
      <c r="B80" t="s">
        <v>684</v>
      </c>
      <c r="C80" t="s">
        <v>643</v>
      </c>
      <c r="D80" t="s">
        <v>570</v>
      </c>
      <c r="E80">
        <v>1</v>
      </c>
      <c r="F80" s="24">
        <v>45938</v>
      </c>
      <c r="G80" t="s">
        <v>633</v>
      </c>
      <c r="H80" t="s">
        <v>644</v>
      </c>
      <c r="J80" t="s">
        <v>524</v>
      </c>
    </row>
    <row r="81" spans="1:10" x14ac:dyDescent="0.3">
      <c r="A81" t="s">
        <v>685</v>
      </c>
      <c r="B81" t="s">
        <v>686</v>
      </c>
      <c r="C81" t="s">
        <v>687</v>
      </c>
      <c r="D81" t="s">
        <v>570</v>
      </c>
      <c r="E81">
        <v>11</v>
      </c>
      <c r="F81" s="24">
        <v>45938</v>
      </c>
      <c r="G81" t="s">
        <v>633</v>
      </c>
      <c r="H81" t="s">
        <v>644</v>
      </c>
      <c r="J81" t="s">
        <v>524</v>
      </c>
    </row>
    <row r="82" spans="1:10" x14ac:dyDescent="0.3">
      <c r="A82" t="s">
        <v>688</v>
      </c>
      <c r="B82" t="s">
        <v>689</v>
      </c>
      <c r="C82" t="s">
        <v>690</v>
      </c>
      <c r="D82" t="s">
        <v>570</v>
      </c>
      <c r="E82">
        <v>1</v>
      </c>
      <c r="F82" s="24">
        <v>45938</v>
      </c>
      <c r="G82" t="s">
        <v>633</v>
      </c>
      <c r="H82" t="s">
        <v>644</v>
      </c>
      <c r="J82" t="s">
        <v>524</v>
      </c>
    </row>
    <row r="83" spans="1:10" x14ac:dyDescent="0.3">
      <c r="A83" t="s">
        <v>691</v>
      </c>
      <c r="B83" t="s">
        <v>692</v>
      </c>
      <c r="C83" t="s">
        <v>693</v>
      </c>
      <c r="D83" t="s">
        <v>570</v>
      </c>
      <c r="E83">
        <v>2</v>
      </c>
      <c r="F83" s="24">
        <v>45938</v>
      </c>
      <c r="G83" t="s">
        <v>633</v>
      </c>
      <c r="H83" t="s">
        <v>644</v>
      </c>
      <c r="J83" t="s">
        <v>524</v>
      </c>
    </row>
    <row r="84" spans="1:10" x14ac:dyDescent="0.3">
      <c r="A84" t="s">
        <v>694</v>
      </c>
      <c r="B84" t="s">
        <v>695</v>
      </c>
      <c r="C84" t="s">
        <v>696</v>
      </c>
      <c r="D84" t="s">
        <v>570</v>
      </c>
      <c r="E84">
        <v>1</v>
      </c>
      <c r="F84" s="24">
        <v>45938</v>
      </c>
      <c r="G84" t="s">
        <v>633</v>
      </c>
      <c r="H84" t="s">
        <v>644</v>
      </c>
      <c r="J84" t="s">
        <v>524</v>
      </c>
    </row>
    <row r="85" spans="1:10" x14ac:dyDescent="0.3">
      <c r="A85" t="s">
        <v>697</v>
      </c>
      <c r="B85" t="s">
        <v>698</v>
      </c>
      <c r="C85" t="s">
        <v>699</v>
      </c>
      <c r="D85" t="s">
        <v>570</v>
      </c>
      <c r="E85">
        <v>27</v>
      </c>
      <c r="F85" s="24">
        <v>45938</v>
      </c>
      <c r="G85" t="s">
        <v>633</v>
      </c>
      <c r="H85" t="s">
        <v>644</v>
      </c>
      <c r="J85" t="s">
        <v>524</v>
      </c>
    </row>
    <row r="86" spans="1:10" x14ac:dyDescent="0.3">
      <c r="A86" t="s">
        <v>700</v>
      </c>
      <c r="B86" t="s">
        <v>701</v>
      </c>
      <c r="C86" t="s">
        <v>702</v>
      </c>
      <c r="D86" t="s">
        <v>570</v>
      </c>
      <c r="E86">
        <v>2</v>
      </c>
      <c r="F86" s="24">
        <v>45938</v>
      </c>
      <c r="G86" t="s">
        <v>633</v>
      </c>
      <c r="H86" t="s">
        <v>644</v>
      </c>
      <c r="J86" t="s">
        <v>524</v>
      </c>
    </row>
    <row r="87" spans="1:10" x14ac:dyDescent="0.3">
      <c r="A87" t="s">
        <v>703</v>
      </c>
      <c r="B87" t="s">
        <v>704</v>
      </c>
      <c r="C87" t="s">
        <v>705</v>
      </c>
      <c r="D87" t="s">
        <v>570</v>
      </c>
      <c r="E87">
        <v>19</v>
      </c>
      <c r="F87" s="24">
        <v>45938</v>
      </c>
      <c r="G87" t="s">
        <v>633</v>
      </c>
      <c r="H87" t="s">
        <v>644</v>
      </c>
      <c r="J87" t="s">
        <v>524</v>
      </c>
    </row>
    <row r="88" spans="1:10" x14ac:dyDescent="0.3">
      <c r="A88" t="s">
        <v>706</v>
      </c>
      <c r="B88" t="s">
        <v>707</v>
      </c>
      <c r="C88" t="s">
        <v>708</v>
      </c>
      <c r="D88" t="s">
        <v>570</v>
      </c>
      <c r="E88">
        <v>36</v>
      </c>
      <c r="F88" s="24">
        <v>45938</v>
      </c>
      <c r="G88" t="s">
        <v>633</v>
      </c>
      <c r="H88" t="s">
        <v>644</v>
      </c>
      <c r="J88" t="s">
        <v>524</v>
      </c>
    </row>
    <row r="89" spans="1:10" x14ac:dyDescent="0.3">
      <c r="A89" t="s">
        <v>709</v>
      </c>
      <c r="B89" t="s">
        <v>710</v>
      </c>
      <c r="C89" t="s">
        <v>711</v>
      </c>
      <c r="D89" t="s">
        <v>570</v>
      </c>
      <c r="E89">
        <v>24</v>
      </c>
      <c r="F89" s="24">
        <v>45938</v>
      </c>
      <c r="G89" t="s">
        <v>633</v>
      </c>
      <c r="H89" t="s">
        <v>644</v>
      </c>
      <c r="J89" t="s">
        <v>524</v>
      </c>
    </row>
    <row r="90" spans="1:10" x14ac:dyDescent="0.3">
      <c r="A90" t="s">
        <v>712</v>
      </c>
      <c r="B90" t="s">
        <v>713</v>
      </c>
      <c r="C90" t="s">
        <v>714</v>
      </c>
      <c r="D90" t="s">
        <v>570</v>
      </c>
      <c r="E90">
        <v>10</v>
      </c>
      <c r="F90" s="24">
        <v>45938</v>
      </c>
      <c r="G90" t="s">
        <v>633</v>
      </c>
      <c r="H90" t="s">
        <v>644</v>
      </c>
      <c r="J90" t="s">
        <v>524</v>
      </c>
    </row>
    <row r="91" spans="1:10" x14ac:dyDescent="0.3">
      <c r="A91" t="s">
        <v>715</v>
      </c>
      <c r="B91" t="s">
        <v>716</v>
      </c>
      <c r="C91" t="s">
        <v>717</v>
      </c>
      <c r="D91" t="s">
        <v>570</v>
      </c>
      <c r="E91">
        <v>2</v>
      </c>
      <c r="F91" s="24">
        <v>45938</v>
      </c>
      <c r="G91" t="s">
        <v>633</v>
      </c>
      <c r="H91" t="s">
        <v>644</v>
      </c>
    </row>
    <row r="92" spans="1:10" x14ac:dyDescent="0.3">
      <c r="A92" t="s">
        <v>718</v>
      </c>
      <c r="B92" t="s">
        <v>719</v>
      </c>
      <c r="C92" t="s">
        <v>720</v>
      </c>
      <c r="D92" t="s">
        <v>570</v>
      </c>
      <c r="E92">
        <v>1</v>
      </c>
      <c r="F92" s="24">
        <v>45938</v>
      </c>
      <c r="G92" t="s">
        <v>721</v>
      </c>
      <c r="H92" t="s">
        <v>644</v>
      </c>
    </row>
    <row r="93" spans="1:10" x14ac:dyDescent="0.3">
      <c r="A93" t="s">
        <v>722</v>
      </c>
      <c r="B93" s="48" t="s">
        <v>723</v>
      </c>
      <c r="C93" t="s">
        <v>724</v>
      </c>
      <c r="D93" t="s">
        <v>570</v>
      </c>
      <c r="E93">
        <v>2</v>
      </c>
      <c r="F93" s="24">
        <v>45938</v>
      </c>
      <c r="G93" t="s">
        <v>721</v>
      </c>
      <c r="H93" t="s">
        <v>644</v>
      </c>
    </row>
    <row r="94" spans="1:10" x14ac:dyDescent="0.3">
      <c r="A94" t="s">
        <v>725</v>
      </c>
      <c r="B94" s="48" t="s">
        <v>726</v>
      </c>
      <c r="C94" t="s">
        <v>727</v>
      </c>
      <c r="D94" t="s">
        <v>570</v>
      </c>
      <c r="E94">
        <v>7</v>
      </c>
      <c r="F94" s="24">
        <v>45938</v>
      </c>
      <c r="G94" t="s">
        <v>721</v>
      </c>
      <c r="H94" t="s">
        <v>644</v>
      </c>
    </row>
    <row r="95" spans="1:10" x14ac:dyDescent="0.3">
      <c r="A95" t="s">
        <v>728</v>
      </c>
      <c r="B95" s="48" t="s">
        <v>729</v>
      </c>
      <c r="C95" t="s">
        <v>730</v>
      </c>
      <c r="D95" t="s">
        <v>570</v>
      </c>
      <c r="E95">
        <v>1</v>
      </c>
      <c r="F95" s="24">
        <v>45938</v>
      </c>
      <c r="G95" t="s">
        <v>721</v>
      </c>
      <c r="H95" t="s">
        <v>644</v>
      </c>
    </row>
    <row r="96" spans="1:10" x14ac:dyDescent="0.3">
      <c r="A96" t="s">
        <v>731</v>
      </c>
      <c r="B96" t="s">
        <v>732</v>
      </c>
      <c r="C96" t="s">
        <v>733</v>
      </c>
      <c r="D96" t="s">
        <v>570</v>
      </c>
      <c r="E96">
        <v>11</v>
      </c>
      <c r="F96" s="24">
        <v>45938</v>
      </c>
      <c r="G96" t="s">
        <v>721</v>
      </c>
      <c r="H96" t="s">
        <v>644</v>
      </c>
    </row>
    <row r="97" spans="1:8" x14ac:dyDescent="0.3">
      <c r="A97" t="s">
        <v>734</v>
      </c>
      <c r="B97" t="s">
        <v>735</v>
      </c>
      <c r="C97" t="s">
        <v>736</v>
      </c>
      <c r="D97" t="s">
        <v>570</v>
      </c>
      <c r="E97">
        <v>13</v>
      </c>
      <c r="F97" s="24">
        <v>45938</v>
      </c>
      <c r="G97" t="s">
        <v>721</v>
      </c>
      <c r="H97" t="s">
        <v>644</v>
      </c>
    </row>
    <row r="98" spans="1:8" x14ac:dyDescent="0.3">
      <c r="A98" t="s">
        <v>737</v>
      </c>
      <c r="B98" s="48" t="s">
        <v>738</v>
      </c>
      <c r="C98" t="s">
        <v>739</v>
      </c>
      <c r="D98" t="s">
        <v>570</v>
      </c>
      <c r="E98">
        <v>9</v>
      </c>
      <c r="F98" s="24">
        <v>45938</v>
      </c>
      <c r="G98" t="s">
        <v>721</v>
      </c>
      <c r="H98" t="s">
        <v>644</v>
      </c>
    </row>
    <row r="99" spans="1:8" x14ac:dyDescent="0.3">
      <c r="A99" t="s">
        <v>740</v>
      </c>
      <c r="B99" s="48" t="s">
        <v>741</v>
      </c>
      <c r="C99" t="s">
        <v>742</v>
      </c>
      <c r="D99" t="s">
        <v>570</v>
      </c>
      <c r="E99">
        <v>11</v>
      </c>
      <c r="F99" s="24">
        <v>45938</v>
      </c>
      <c r="G99" t="s">
        <v>721</v>
      </c>
      <c r="H99" t="s">
        <v>644</v>
      </c>
    </row>
    <row r="100" spans="1:8" x14ac:dyDescent="0.3">
      <c r="A100" t="s">
        <v>743</v>
      </c>
      <c r="B100" s="48" t="s">
        <v>744</v>
      </c>
      <c r="C100" t="s">
        <v>745</v>
      </c>
      <c r="D100" t="s">
        <v>570</v>
      </c>
      <c r="E100">
        <v>1</v>
      </c>
      <c r="F100" s="24">
        <v>45938</v>
      </c>
      <c r="G100" t="s">
        <v>721</v>
      </c>
      <c r="H100" t="s">
        <v>644</v>
      </c>
    </row>
    <row r="101" spans="1:8" x14ac:dyDescent="0.3">
      <c r="A101" t="s">
        <v>746</v>
      </c>
      <c r="B101" s="48" t="s">
        <v>747</v>
      </c>
      <c r="C101" t="s">
        <v>748</v>
      </c>
      <c r="D101" t="s">
        <v>570</v>
      </c>
      <c r="E101">
        <v>16</v>
      </c>
      <c r="F101" s="24">
        <v>45938</v>
      </c>
      <c r="G101" t="s">
        <v>721</v>
      </c>
      <c r="H101" t="s">
        <v>644</v>
      </c>
    </row>
    <row r="102" spans="1:8" x14ac:dyDescent="0.3">
      <c r="A102" t="s">
        <v>749</v>
      </c>
      <c r="B102" s="48" t="s">
        <v>750</v>
      </c>
      <c r="C102" t="s">
        <v>751</v>
      </c>
      <c r="D102" t="s">
        <v>570</v>
      </c>
      <c r="E102">
        <v>1</v>
      </c>
      <c r="F102" s="24">
        <v>45938</v>
      </c>
      <c r="G102" t="s">
        <v>721</v>
      </c>
      <c r="H102" t="s">
        <v>644</v>
      </c>
    </row>
    <row r="103" spans="1:8" x14ac:dyDescent="0.3">
      <c r="A103" t="s">
        <v>752</v>
      </c>
      <c r="B103" t="s">
        <v>753</v>
      </c>
      <c r="C103" t="s">
        <v>754</v>
      </c>
      <c r="D103" t="s">
        <v>570</v>
      </c>
      <c r="E103">
        <v>5</v>
      </c>
      <c r="F103" s="24">
        <v>45938</v>
      </c>
      <c r="G103" t="s">
        <v>721</v>
      </c>
      <c r="H103" t="s">
        <v>644</v>
      </c>
    </row>
    <row r="104" spans="1:8" x14ac:dyDescent="0.3">
      <c r="A104" t="s">
        <v>755</v>
      </c>
      <c r="B104" s="48" t="s">
        <v>756</v>
      </c>
      <c r="C104" t="s">
        <v>757</v>
      </c>
      <c r="D104" t="s">
        <v>570</v>
      </c>
      <c r="E104">
        <v>1</v>
      </c>
      <c r="F104" s="24">
        <v>45938</v>
      </c>
      <c r="G104" t="s">
        <v>721</v>
      </c>
      <c r="H104" t="s">
        <v>644</v>
      </c>
    </row>
    <row r="105" spans="1:8" x14ac:dyDescent="0.3">
      <c r="A105" t="s">
        <v>758</v>
      </c>
      <c r="B105" s="48" t="s">
        <v>759</v>
      </c>
      <c r="C105" t="s">
        <v>748</v>
      </c>
      <c r="D105" t="s">
        <v>570</v>
      </c>
      <c r="E105">
        <v>8</v>
      </c>
      <c r="F105" s="24">
        <v>45938</v>
      </c>
      <c r="G105" t="s">
        <v>721</v>
      </c>
      <c r="H105" t="s">
        <v>644</v>
      </c>
    </row>
    <row r="106" spans="1:8" x14ac:dyDescent="0.3">
      <c r="A106" t="s">
        <v>760</v>
      </c>
      <c r="B106" s="48" t="s">
        <v>761</v>
      </c>
      <c r="C106" t="s">
        <v>748</v>
      </c>
      <c r="D106" t="s">
        <v>570</v>
      </c>
      <c r="E106">
        <v>3</v>
      </c>
      <c r="F106" s="24">
        <v>45938</v>
      </c>
      <c r="G106" t="s">
        <v>721</v>
      </c>
      <c r="H106" t="s">
        <v>644</v>
      </c>
    </row>
    <row r="107" spans="1:8" x14ac:dyDescent="0.3">
      <c r="A107" t="s">
        <v>762</v>
      </c>
      <c r="B107" s="48" t="s">
        <v>763</v>
      </c>
      <c r="C107" t="s">
        <v>720</v>
      </c>
      <c r="D107" t="s">
        <v>570</v>
      </c>
      <c r="E107">
        <v>2</v>
      </c>
      <c r="F107" s="24">
        <v>45938</v>
      </c>
      <c r="G107" t="s">
        <v>721</v>
      </c>
      <c r="H107" t="s">
        <v>644</v>
      </c>
    </row>
    <row r="108" spans="1:8" x14ac:dyDescent="0.3">
      <c r="A108" t="s">
        <v>764</v>
      </c>
      <c r="B108" s="48" t="s">
        <v>765</v>
      </c>
      <c r="C108" t="s">
        <v>748</v>
      </c>
      <c r="D108" t="s">
        <v>570</v>
      </c>
      <c r="E108">
        <v>6</v>
      </c>
      <c r="F108" s="24">
        <v>45938</v>
      </c>
      <c r="G108" t="s">
        <v>721</v>
      </c>
      <c r="H108" t="s">
        <v>644</v>
      </c>
    </row>
    <row r="109" spans="1:8" x14ac:dyDescent="0.3">
      <c r="A109" t="s">
        <v>766</v>
      </c>
      <c r="B109" s="48" t="s">
        <v>767</v>
      </c>
      <c r="C109" t="s">
        <v>109</v>
      </c>
      <c r="D109" t="s">
        <v>768</v>
      </c>
      <c r="E109">
        <v>7</v>
      </c>
      <c r="F109" s="24">
        <v>45938</v>
      </c>
      <c r="G109" t="s">
        <v>721</v>
      </c>
      <c r="H109" t="s">
        <v>644</v>
      </c>
    </row>
    <row r="110" spans="1:8" x14ac:dyDescent="0.3">
      <c r="A110" t="s">
        <v>769</v>
      </c>
      <c r="B110" s="48" t="s">
        <v>770</v>
      </c>
      <c r="C110" t="s">
        <v>771</v>
      </c>
      <c r="D110" t="s">
        <v>570</v>
      </c>
      <c r="E110">
        <v>14</v>
      </c>
      <c r="F110" s="24">
        <v>45938</v>
      </c>
      <c r="G110" t="s">
        <v>721</v>
      </c>
      <c r="H110" t="s">
        <v>644</v>
      </c>
    </row>
    <row r="111" spans="1:8" x14ac:dyDescent="0.3">
      <c r="A111" t="s">
        <v>772</v>
      </c>
      <c r="B111" s="48" t="s">
        <v>773</v>
      </c>
      <c r="C111" t="s">
        <v>773</v>
      </c>
      <c r="D111" t="s">
        <v>570</v>
      </c>
      <c r="E111">
        <v>21</v>
      </c>
      <c r="F111" s="24">
        <v>45938</v>
      </c>
      <c r="G111" t="s">
        <v>721</v>
      </c>
      <c r="H111" t="s">
        <v>644</v>
      </c>
    </row>
    <row r="112" spans="1:8" x14ac:dyDescent="0.3">
      <c r="A112" t="s">
        <v>774</v>
      </c>
      <c r="B112" t="s">
        <v>775</v>
      </c>
      <c r="C112" t="s">
        <v>775</v>
      </c>
      <c r="D112" t="s">
        <v>570</v>
      </c>
      <c r="E112">
        <v>80</v>
      </c>
      <c r="F112" s="24">
        <v>45938</v>
      </c>
      <c r="G112" t="s">
        <v>721</v>
      </c>
      <c r="H112" t="s">
        <v>644</v>
      </c>
    </row>
    <row r="113" spans="1:11" x14ac:dyDescent="0.3">
      <c r="A113" t="s">
        <v>776</v>
      </c>
      <c r="B113" t="s">
        <v>777</v>
      </c>
      <c r="C113" t="s">
        <v>771</v>
      </c>
      <c r="D113" t="s">
        <v>570</v>
      </c>
      <c r="E113">
        <v>51</v>
      </c>
      <c r="F113" s="24">
        <v>45938</v>
      </c>
      <c r="G113" t="s">
        <v>721</v>
      </c>
      <c r="H113" t="s">
        <v>644</v>
      </c>
    </row>
    <row r="114" spans="1:11" x14ac:dyDescent="0.3">
      <c r="A114" t="s">
        <v>778</v>
      </c>
      <c r="B114" t="s">
        <v>779</v>
      </c>
      <c r="C114" t="s">
        <v>771</v>
      </c>
      <c r="D114" t="s">
        <v>570</v>
      </c>
      <c r="E114">
        <v>42</v>
      </c>
      <c r="F114" s="24">
        <v>45938</v>
      </c>
      <c r="G114" t="s">
        <v>721</v>
      </c>
      <c r="H114" t="s">
        <v>644</v>
      </c>
    </row>
    <row r="115" spans="1:11" x14ac:dyDescent="0.3">
      <c r="A115" t="s">
        <v>780</v>
      </c>
      <c r="B115" t="s">
        <v>781</v>
      </c>
      <c r="C115" t="s">
        <v>771</v>
      </c>
      <c r="D115" t="s">
        <v>570</v>
      </c>
      <c r="E115">
        <v>29</v>
      </c>
      <c r="F115" s="24">
        <v>45938</v>
      </c>
      <c r="G115" t="s">
        <v>721</v>
      </c>
      <c r="H115" t="s">
        <v>644</v>
      </c>
    </row>
    <row r="116" spans="1:11" x14ac:dyDescent="0.3">
      <c r="A116" t="s">
        <v>782</v>
      </c>
      <c r="B116" s="48" t="s">
        <v>783</v>
      </c>
      <c r="C116" t="s">
        <v>784</v>
      </c>
      <c r="D116" t="s">
        <v>570</v>
      </c>
      <c r="E116">
        <v>13</v>
      </c>
      <c r="F116" s="24">
        <v>45938</v>
      </c>
      <c r="G116" t="s">
        <v>721</v>
      </c>
      <c r="H116" t="s">
        <v>644</v>
      </c>
    </row>
    <row r="117" spans="1:11" x14ac:dyDescent="0.3">
      <c r="A117" t="s">
        <v>785</v>
      </c>
      <c r="B117" s="48" t="s">
        <v>786</v>
      </c>
      <c r="C117" t="s">
        <v>771</v>
      </c>
      <c r="D117" t="s">
        <v>570</v>
      </c>
      <c r="E117">
        <v>2</v>
      </c>
      <c r="F117" s="24">
        <v>45938</v>
      </c>
      <c r="G117" t="s">
        <v>721</v>
      </c>
      <c r="H117" t="s">
        <v>644</v>
      </c>
    </row>
    <row r="118" spans="1:11" x14ac:dyDescent="0.3">
      <c r="A118" t="s">
        <v>787</v>
      </c>
      <c r="B118" s="48" t="s">
        <v>788</v>
      </c>
      <c r="C118" t="s">
        <v>789</v>
      </c>
      <c r="D118" t="s">
        <v>570</v>
      </c>
      <c r="E118">
        <v>3</v>
      </c>
      <c r="F118" s="24">
        <v>45938</v>
      </c>
      <c r="G118" t="s">
        <v>721</v>
      </c>
      <c r="H118" t="s">
        <v>644</v>
      </c>
    </row>
    <row r="119" spans="1:11" x14ac:dyDescent="0.3">
      <c r="A119" t="s">
        <v>790</v>
      </c>
      <c r="B119" s="48" t="s">
        <v>791</v>
      </c>
      <c r="C119" t="s">
        <v>792</v>
      </c>
      <c r="D119" t="s">
        <v>570</v>
      </c>
      <c r="E119">
        <v>15</v>
      </c>
      <c r="F119" s="24">
        <v>45938</v>
      </c>
      <c r="G119" t="s">
        <v>721</v>
      </c>
      <c r="H119" t="s">
        <v>644</v>
      </c>
      <c r="K119" s="24"/>
    </row>
    <row r="120" spans="1:11" x14ac:dyDescent="0.3">
      <c r="A120" t="s">
        <v>793</v>
      </c>
      <c r="B120" s="48" t="s">
        <v>794</v>
      </c>
      <c r="C120" t="s">
        <v>795</v>
      </c>
      <c r="D120" t="s">
        <v>570</v>
      </c>
      <c r="E120">
        <v>1</v>
      </c>
      <c r="F120" s="24">
        <v>45938</v>
      </c>
      <c r="G120" t="s">
        <v>721</v>
      </c>
      <c r="H120" t="s">
        <v>644</v>
      </c>
      <c r="K120" s="24"/>
    </row>
    <row r="121" spans="1:11" x14ac:dyDescent="0.3">
      <c r="A121" t="s">
        <v>796</v>
      </c>
      <c r="B121" s="48" t="s">
        <v>797</v>
      </c>
      <c r="C121" t="s">
        <v>798</v>
      </c>
      <c r="D121" t="s">
        <v>570</v>
      </c>
      <c r="E121">
        <v>13</v>
      </c>
      <c r="F121" s="24">
        <v>45938</v>
      </c>
      <c r="G121" t="s">
        <v>721</v>
      </c>
      <c r="H121" t="s">
        <v>644</v>
      </c>
      <c r="K121" s="24"/>
    </row>
    <row r="122" spans="1:11" x14ac:dyDescent="0.3">
      <c r="A122" t="s">
        <v>799</v>
      </c>
      <c r="B122" s="48" t="s">
        <v>800</v>
      </c>
      <c r="C122" t="s">
        <v>801</v>
      </c>
      <c r="D122" t="s">
        <v>570</v>
      </c>
      <c r="E122">
        <v>1</v>
      </c>
      <c r="F122" s="24">
        <v>45938</v>
      </c>
      <c r="G122" t="s">
        <v>721</v>
      </c>
      <c r="H122" t="s">
        <v>644</v>
      </c>
      <c r="K122" s="24"/>
    </row>
    <row r="123" spans="1:11" x14ac:dyDescent="0.3">
      <c r="A123" t="s">
        <v>802</v>
      </c>
      <c r="B123" s="48" t="s">
        <v>803</v>
      </c>
      <c r="C123" t="s">
        <v>668</v>
      </c>
      <c r="D123" t="s">
        <v>570</v>
      </c>
      <c r="E123">
        <v>14</v>
      </c>
      <c r="F123" s="24">
        <v>45938</v>
      </c>
      <c r="G123" t="s">
        <v>721</v>
      </c>
      <c r="H123" t="s">
        <v>644</v>
      </c>
      <c r="K123" s="24"/>
    </row>
    <row r="124" spans="1:11" ht="15" customHeight="1" x14ac:dyDescent="0.3">
      <c r="A124" t="s">
        <v>804</v>
      </c>
      <c r="B124" s="48" t="s">
        <v>805</v>
      </c>
      <c r="C124" s="48" t="s">
        <v>805</v>
      </c>
      <c r="D124" t="s">
        <v>570</v>
      </c>
      <c r="E124">
        <v>17</v>
      </c>
      <c r="F124" s="24">
        <v>45938</v>
      </c>
      <c r="G124" t="s">
        <v>721</v>
      </c>
      <c r="H124" t="s">
        <v>644</v>
      </c>
      <c r="K124" s="24"/>
    </row>
    <row r="125" spans="1:11" x14ac:dyDescent="0.3">
      <c r="A125" t="s">
        <v>806</v>
      </c>
      <c r="B125" s="48" t="s">
        <v>807</v>
      </c>
      <c r="C125" t="s">
        <v>808</v>
      </c>
      <c r="D125" t="s">
        <v>570</v>
      </c>
      <c r="E125">
        <v>1</v>
      </c>
      <c r="F125" s="24">
        <v>45938</v>
      </c>
      <c r="G125" t="s">
        <v>721</v>
      </c>
      <c r="H125" t="s">
        <v>644</v>
      </c>
      <c r="K125" s="24"/>
    </row>
    <row r="126" spans="1:11" x14ac:dyDescent="0.3">
      <c r="A126" t="s">
        <v>809</v>
      </c>
      <c r="B126" s="48" t="s">
        <v>810</v>
      </c>
      <c r="C126" t="s">
        <v>771</v>
      </c>
      <c r="D126" t="s">
        <v>570</v>
      </c>
      <c r="E126">
        <v>60</v>
      </c>
      <c r="F126" s="24">
        <v>45938</v>
      </c>
      <c r="G126" t="s">
        <v>721</v>
      </c>
      <c r="H126" t="s">
        <v>644</v>
      </c>
      <c r="K126" s="24"/>
    </row>
    <row r="127" spans="1:11" x14ac:dyDescent="0.3">
      <c r="A127" t="s">
        <v>811</v>
      </c>
      <c r="B127" s="48" t="s">
        <v>812</v>
      </c>
      <c r="C127" t="s">
        <v>813</v>
      </c>
      <c r="D127" t="s">
        <v>570</v>
      </c>
      <c r="E127">
        <v>3</v>
      </c>
      <c r="F127" s="24">
        <v>45938</v>
      </c>
      <c r="G127" t="s">
        <v>721</v>
      </c>
      <c r="H127" t="s">
        <v>644</v>
      </c>
      <c r="K127" s="24"/>
    </row>
    <row r="128" spans="1:11" x14ac:dyDescent="0.3">
      <c r="A128" t="s">
        <v>814</v>
      </c>
      <c r="B128" s="48" t="s">
        <v>815</v>
      </c>
      <c r="C128" t="s">
        <v>771</v>
      </c>
      <c r="D128" t="s">
        <v>38</v>
      </c>
      <c r="E128">
        <v>1</v>
      </c>
      <c r="F128" s="24">
        <v>45978</v>
      </c>
      <c r="G128" t="s">
        <v>816</v>
      </c>
      <c r="H128" t="s">
        <v>816</v>
      </c>
      <c r="K128" s="24"/>
    </row>
    <row r="129" spans="1:11" x14ac:dyDescent="0.3">
      <c r="A129" t="s">
        <v>817</v>
      </c>
      <c r="B129" t="s">
        <v>818</v>
      </c>
      <c r="C129" t="s">
        <v>771</v>
      </c>
      <c r="D129" t="s">
        <v>819</v>
      </c>
      <c r="E129">
        <v>1</v>
      </c>
      <c r="F129" s="24">
        <v>45978</v>
      </c>
      <c r="G129" t="s">
        <v>816</v>
      </c>
      <c r="H129" t="s">
        <v>816</v>
      </c>
      <c r="K129" s="24"/>
    </row>
    <row r="130" spans="1:11" x14ac:dyDescent="0.3">
      <c r="A130" t="s">
        <v>820</v>
      </c>
      <c r="B130" t="s">
        <v>821</v>
      </c>
      <c r="C130" t="s">
        <v>491</v>
      </c>
      <c r="D130" t="s">
        <v>38</v>
      </c>
      <c r="E130">
        <v>4</v>
      </c>
      <c r="F130" s="24">
        <v>45978</v>
      </c>
      <c r="G130" t="s">
        <v>816</v>
      </c>
      <c r="H130" t="s">
        <v>816</v>
      </c>
      <c r="K130" s="24"/>
    </row>
    <row r="131" spans="1:11" x14ac:dyDescent="0.3">
      <c r="A131" t="s">
        <v>822</v>
      </c>
      <c r="B131" t="s">
        <v>823</v>
      </c>
      <c r="C131" t="s">
        <v>823</v>
      </c>
      <c r="D131" t="s">
        <v>38</v>
      </c>
      <c r="E131">
        <v>1</v>
      </c>
      <c r="F131" s="24">
        <v>45978</v>
      </c>
      <c r="G131" t="s">
        <v>816</v>
      </c>
      <c r="H131" t="s">
        <v>816</v>
      </c>
      <c r="K131" s="24"/>
    </row>
    <row r="132" spans="1:11" x14ac:dyDescent="0.3">
      <c r="A132" t="s">
        <v>824</v>
      </c>
      <c r="B132" t="s">
        <v>825</v>
      </c>
      <c r="C132" t="s">
        <v>826</v>
      </c>
      <c r="D132" t="s">
        <v>120</v>
      </c>
      <c r="E132">
        <v>1</v>
      </c>
      <c r="F132" s="24">
        <v>45982</v>
      </c>
      <c r="G132" t="s">
        <v>827</v>
      </c>
      <c r="H132" t="s">
        <v>827</v>
      </c>
      <c r="J132" t="s">
        <v>448</v>
      </c>
    </row>
    <row r="133" spans="1:11" x14ac:dyDescent="0.3">
      <c r="A133" t="s">
        <v>828</v>
      </c>
      <c r="B133" t="s">
        <v>829</v>
      </c>
      <c r="C133" t="s">
        <v>826</v>
      </c>
      <c r="D133" t="s">
        <v>120</v>
      </c>
      <c r="E133">
        <v>1</v>
      </c>
      <c r="F133" s="24">
        <v>46009</v>
      </c>
      <c r="G133" t="s">
        <v>830</v>
      </c>
      <c r="H133" t="s">
        <v>830</v>
      </c>
      <c r="J133" t="s">
        <v>448</v>
      </c>
    </row>
    <row r="134" spans="1:11" x14ac:dyDescent="0.3">
      <c r="E134">
        <f>SUM(E2:E133)</f>
        <v>1104</v>
      </c>
    </row>
  </sheetData>
  <autoFilter ref="A1:I39" xr:uid="{44263067-AD69-4591-B5B9-0810E675CA92}">
    <sortState ref="A2:I133">
      <sortCondition ref="F1:F3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E96A-0E5B-4367-BB09-B6FD4AD97FAC}">
  <sheetPr>
    <tabColor rgb="FFC4A23D"/>
  </sheetPr>
  <dimension ref="A1:J14"/>
  <sheetViews>
    <sheetView topLeftCell="B1"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2" max="2" width="35.5546875" customWidth="1"/>
    <col min="3" max="3" width="16" bestFit="1" customWidth="1"/>
    <col min="4" max="4" width="16.6640625" bestFit="1" customWidth="1"/>
    <col min="5" max="5" width="10.109375" bestFit="1" customWidth="1"/>
    <col min="6" max="6" width="14.88671875" customWidth="1"/>
    <col min="7" max="7" width="34.6640625" customWidth="1"/>
    <col min="8" max="8" width="26.6640625" bestFit="1" customWidth="1"/>
    <col min="9" max="9" width="11.5546875" style="75" customWidth="1"/>
  </cols>
  <sheetData>
    <row r="1" spans="1:10" x14ac:dyDescent="0.3">
      <c r="A1" s="8" t="s">
        <v>465</v>
      </c>
      <c r="B1" s="8" t="s">
        <v>0</v>
      </c>
      <c r="C1" s="8" t="s">
        <v>2</v>
      </c>
      <c r="D1" s="8" t="s">
        <v>1</v>
      </c>
      <c r="E1" s="8" t="s">
        <v>3</v>
      </c>
      <c r="F1" s="8" t="s">
        <v>4</v>
      </c>
      <c r="G1" s="8" t="s">
        <v>831</v>
      </c>
      <c r="H1" s="8" t="s">
        <v>5</v>
      </c>
      <c r="I1" s="73" t="s">
        <v>211</v>
      </c>
    </row>
    <row r="2" spans="1:10" x14ac:dyDescent="0.3">
      <c r="A2" t="s">
        <v>832</v>
      </c>
      <c r="B2" s="1" t="s">
        <v>197</v>
      </c>
      <c r="C2" s="30" t="s">
        <v>833</v>
      </c>
      <c r="D2" s="2" t="s">
        <v>196</v>
      </c>
      <c r="E2" s="2">
        <v>8</v>
      </c>
      <c r="F2" s="36">
        <v>45685</v>
      </c>
      <c r="G2" s="71" t="s">
        <v>23</v>
      </c>
      <c r="H2" s="31" t="s">
        <v>23</v>
      </c>
      <c r="I2" s="75">
        <v>3015</v>
      </c>
      <c r="J2" t="s">
        <v>448</v>
      </c>
    </row>
    <row r="3" spans="1:10" x14ac:dyDescent="0.3">
      <c r="A3" t="s">
        <v>834</v>
      </c>
      <c r="B3" s="1" t="s">
        <v>194</v>
      </c>
      <c r="C3" s="30" t="s">
        <v>833</v>
      </c>
      <c r="D3" s="2" t="s">
        <v>196</v>
      </c>
      <c r="E3" s="2">
        <v>1</v>
      </c>
      <c r="F3" s="36">
        <v>45705</v>
      </c>
      <c r="G3" s="71" t="s">
        <v>127</v>
      </c>
      <c r="H3" s="31" t="s">
        <v>127</v>
      </c>
      <c r="I3" s="75">
        <v>3093</v>
      </c>
    </row>
    <row r="4" spans="1:10" x14ac:dyDescent="0.3">
      <c r="A4" t="s">
        <v>835</v>
      </c>
      <c r="B4" s="1" t="s">
        <v>194</v>
      </c>
      <c r="C4" s="30" t="s">
        <v>833</v>
      </c>
      <c r="D4" s="2" t="s">
        <v>196</v>
      </c>
      <c r="E4" s="2">
        <v>1</v>
      </c>
      <c r="F4" s="36">
        <v>45707</v>
      </c>
      <c r="G4" s="71" t="s">
        <v>585</v>
      </c>
      <c r="H4" s="31" t="s">
        <v>585</v>
      </c>
    </row>
    <row r="5" spans="1:10" x14ac:dyDescent="0.3">
      <c r="A5" t="s">
        <v>836</v>
      </c>
      <c r="B5" t="s">
        <v>837</v>
      </c>
      <c r="C5" s="30" t="s">
        <v>199</v>
      </c>
      <c r="D5" s="2" t="s">
        <v>196</v>
      </c>
      <c r="E5" s="2">
        <v>8</v>
      </c>
      <c r="F5" s="36">
        <v>45751</v>
      </c>
      <c r="G5" s="71" t="s">
        <v>23</v>
      </c>
      <c r="H5" t="s">
        <v>23</v>
      </c>
      <c r="I5" s="75">
        <v>3678</v>
      </c>
    </row>
    <row r="6" spans="1:10" x14ac:dyDescent="0.3">
      <c r="A6" t="s">
        <v>838</v>
      </c>
      <c r="B6" s="1" t="s">
        <v>194</v>
      </c>
      <c r="C6" s="30" t="s">
        <v>833</v>
      </c>
      <c r="D6" s="2" t="s">
        <v>196</v>
      </c>
      <c r="E6" s="2">
        <v>1</v>
      </c>
      <c r="F6" s="36">
        <v>45771</v>
      </c>
      <c r="G6" s="71" t="s">
        <v>190</v>
      </c>
      <c r="H6" s="31" t="s">
        <v>190</v>
      </c>
      <c r="I6" s="75" t="s">
        <v>839</v>
      </c>
    </row>
    <row r="7" spans="1:10" x14ac:dyDescent="0.3">
      <c r="A7" t="s">
        <v>840</v>
      </c>
      <c r="B7" t="s">
        <v>194</v>
      </c>
      <c r="C7" t="s">
        <v>833</v>
      </c>
      <c r="D7" t="s">
        <v>196</v>
      </c>
      <c r="E7">
        <v>1</v>
      </c>
      <c r="F7" s="24">
        <v>45852</v>
      </c>
      <c r="G7" s="24" t="s">
        <v>125</v>
      </c>
      <c r="H7" t="s">
        <v>125</v>
      </c>
      <c r="J7" t="s">
        <v>448</v>
      </c>
    </row>
    <row r="8" spans="1:10" x14ac:dyDescent="0.3">
      <c r="A8" t="s">
        <v>841</v>
      </c>
      <c r="B8" t="s">
        <v>842</v>
      </c>
      <c r="C8" t="s">
        <v>833</v>
      </c>
      <c r="D8" t="s">
        <v>196</v>
      </c>
      <c r="E8">
        <v>1</v>
      </c>
      <c r="F8" s="24">
        <v>45853</v>
      </c>
      <c r="G8" s="24" t="s">
        <v>190</v>
      </c>
      <c r="H8" s="24" t="s">
        <v>190</v>
      </c>
    </row>
    <row r="9" spans="1:10" x14ac:dyDescent="0.3">
      <c r="A9" t="s">
        <v>843</v>
      </c>
      <c r="B9" t="s">
        <v>844</v>
      </c>
      <c r="C9" t="s">
        <v>833</v>
      </c>
      <c r="D9" t="s">
        <v>196</v>
      </c>
      <c r="E9">
        <v>1</v>
      </c>
      <c r="F9" s="24">
        <v>45930</v>
      </c>
      <c r="G9" s="24" t="s">
        <v>816</v>
      </c>
      <c r="H9" t="s">
        <v>816</v>
      </c>
      <c r="J9" t="s">
        <v>448</v>
      </c>
    </row>
    <row r="10" spans="1:10" x14ac:dyDescent="0.3">
      <c r="A10" t="s">
        <v>845</v>
      </c>
      <c r="B10" s="32" t="s">
        <v>846</v>
      </c>
      <c r="C10" s="33" t="s">
        <v>833</v>
      </c>
      <c r="D10" s="32" t="s">
        <v>196</v>
      </c>
      <c r="E10" s="34">
        <v>1</v>
      </c>
      <c r="F10" s="35">
        <v>45961</v>
      </c>
      <c r="G10" s="35" t="s">
        <v>816</v>
      </c>
      <c r="H10" t="s">
        <v>816</v>
      </c>
      <c r="J10" t="s">
        <v>448</v>
      </c>
    </row>
    <row r="11" spans="1:10" x14ac:dyDescent="0.3">
      <c r="C11" s="31"/>
      <c r="D11" s="31"/>
      <c r="E11" s="31"/>
      <c r="F11" s="24"/>
      <c r="G11" s="24"/>
    </row>
    <row r="12" spans="1:10" x14ac:dyDescent="0.3">
      <c r="A12" s="8"/>
      <c r="C12" s="31"/>
      <c r="D12" s="31"/>
      <c r="E12" s="91"/>
      <c r="F12" s="24"/>
      <c r="G12" s="24"/>
    </row>
    <row r="13" spans="1:10" x14ac:dyDescent="0.3">
      <c r="F13" s="24"/>
      <c r="G13" s="24"/>
    </row>
    <row r="14" spans="1:10" x14ac:dyDescent="0.3">
      <c r="F14" s="24"/>
      <c r="G14" s="24"/>
    </row>
  </sheetData>
  <autoFilter ref="B1:H14" xr:uid="{085EE6F9-7D74-4141-8490-6B0B8FD5465D}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2602-9865-4177-9BBE-4ACD3A9E47D3}">
  <sheetPr>
    <tabColor rgb="FF7030A0"/>
  </sheetPr>
  <dimension ref="A1:L119"/>
  <sheetViews>
    <sheetView topLeftCell="C1" workbookViewId="0">
      <pane ySplit="1" topLeftCell="A98" activePane="bottomLeft" state="frozen"/>
      <selection pane="bottomLeft" activeCell="L122" sqref="L122"/>
    </sheetView>
  </sheetViews>
  <sheetFormatPr defaultColWidth="9.109375" defaultRowHeight="14.4" x14ac:dyDescent="0.3"/>
  <cols>
    <col min="1" max="1" width="12.109375" customWidth="1"/>
    <col min="2" max="2" width="56" customWidth="1"/>
    <col min="3" max="3" width="30.44140625" bestFit="1" customWidth="1"/>
    <col min="4" max="4" width="76.109375" customWidth="1"/>
    <col min="5" max="5" width="18.6640625" bestFit="1" customWidth="1"/>
    <col min="6" max="6" width="12" bestFit="1" customWidth="1"/>
    <col min="7" max="8" width="16.5546875" style="24" bestFit="1" customWidth="1"/>
    <col min="9" max="9" width="12.44140625" hidden="1" customWidth="1"/>
    <col min="10" max="10" width="14.6640625" hidden="1" customWidth="1"/>
    <col min="11" max="11" width="18.88671875" bestFit="1" customWidth="1"/>
    <col min="12" max="12" width="27.6640625" customWidth="1"/>
  </cols>
  <sheetData>
    <row r="1" spans="1:12" s="8" customFormat="1" x14ac:dyDescent="0.3">
      <c r="A1" s="8" t="s">
        <v>211</v>
      </c>
      <c r="B1" s="84" t="s">
        <v>99</v>
      </c>
      <c r="C1" s="8" t="s">
        <v>212</v>
      </c>
      <c r="D1" s="84" t="s">
        <v>213</v>
      </c>
      <c r="E1" s="8" t="s">
        <v>94</v>
      </c>
      <c r="F1" s="8" t="s">
        <v>214</v>
      </c>
      <c r="G1" s="85" t="s">
        <v>215</v>
      </c>
      <c r="H1" s="85" t="s">
        <v>216</v>
      </c>
      <c r="I1" s="8" t="s">
        <v>217</v>
      </c>
      <c r="J1" s="8" t="s">
        <v>218</v>
      </c>
      <c r="K1" s="8" t="s">
        <v>219</v>
      </c>
      <c r="L1" s="8" t="s">
        <v>847</v>
      </c>
    </row>
    <row r="2" spans="1:12" x14ac:dyDescent="0.3">
      <c r="A2">
        <v>2971</v>
      </c>
      <c r="B2" s="72" t="s">
        <v>110</v>
      </c>
      <c r="C2" t="s">
        <v>321</v>
      </c>
      <c r="D2" s="72" t="s">
        <v>848</v>
      </c>
      <c r="E2" t="s">
        <v>236</v>
      </c>
      <c r="F2" t="s">
        <v>448</v>
      </c>
      <c r="G2" s="24">
        <v>45667</v>
      </c>
      <c r="H2" s="24">
        <v>45672.658333333333</v>
      </c>
      <c r="I2" s="86">
        <v>3.1822453703703704</v>
      </c>
      <c r="J2" s="87">
        <v>2.0833333333333332E-2</v>
      </c>
      <c r="K2" t="s">
        <v>224</v>
      </c>
      <c r="L2" t="s">
        <v>849</v>
      </c>
    </row>
    <row r="3" spans="1:12" x14ac:dyDescent="0.3">
      <c r="A3">
        <v>2994</v>
      </c>
      <c r="B3" s="72" t="s">
        <v>361</v>
      </c>
      <c r="C3" t="s">
        <v>362</v>
      </c>
      <c r="D3" s="72" t="s">
        <v>850</v>
      </c>
      <c r="E3" t="s">
        <v>236</v>
      </c>
      <c r="F3" t="s">
        <v>448</v>
      </c>
      <c r="G3" s="24">
        <v>45677.455555555556</v>
      </c>
      <c r="H3" s="24">
        <v>45677.456250000003</v>
      </c>
      <c r="I3" s="87">
        <v>8.2175925925925927E-4</v>
      </c>
      <c r="J3" s="87">
        <v>2.0833333333333332E-2</v>
      </c>
      <c r="K3" t="s">
        <v>224</v>
      </c>
      <c r="L3" t="s">
        <v>849</v>
      </c>
    </row>
    <row r="4" spans="1:12" x14ac:dyDescent="0.3">
      <c r="A4">
        <v>3008</v>
      </c>
      <c r="B4" s="72" t="s">
        <v>110</v>
      </c>
      <c r="C4" t="s">
        <v>851</v>
      </c>
      <c r="D4" s="72" t="s">
        <v>852</v>
      </c>
      <c r="E4" t="s">
        <v>236</v>
      </c>
      <c r="F4" t="s">
        <v>448</v>
      </c>
      <c r="G4" s="24">
        <v>45679.662499999999</v>
      </c>
      <c r="H4" s="24">
        <v>45679.675000000003</v>
      </c>
      <c r="I4" s="87">
        <v>1.2812499999999999E-2</v>
      </c>
      <c r="J4" s="87">
        <v>2.0833333333333332E-2</v>
      </c>
      <c r="K4" t="s">
        <v>224</v>
      </c>
      <c r="L4" t="s">
        <v>849</v>
      </c>
    </row>
    <row r="5" spans="1:12" x14ac:dyDescent="0.3">
      <c r="A5">
        <v>3009</v>
      </c>
      <c r="B5" s="72" t="s">
        <v>361</v>
      </c>
      <c r="C5" t="s">
        <v>362</v>
      </c>
      <c r="D5" s="72" t="s">
        <v>853</v>
      </c>
      <c r="E5" t="s">
        <v>236</v>
      </c>
      <c r="F5" t="s">
        <v>448</v>
      </c>
      <c r="G5" s="24">
        <v>45679.663194444445</v>
      </c>
      <c r="H5" s="24">
        <v>45684.396527777775</v>
      </c>
      <c r="I5" s="87">
        <v>2.7332638888888887</v>
      </c>
      <c r="J5" s="87">
        <v>2.0833333333333332E-2</v>
      </c>
      <c r="K5" t="s">
        <v>224</v>
      </c>
      <c r="L5" t="s">
        <v>849</v>
      </c>
    </row>
    <row r="6" spans="1:12" x14ac:dyDescent="0.3">
      <c r="A6">
        <v>3012</v>
      </c>
      <c r="B6" s="72" t="s">
        <v>23</v>
      </c>
      <c r="C6" t="s">
        <v>436</v>
      </c>
      <c r="D6" s="72" t="s">
        <v>854</v>
      </c>
      <c r="E6" t="s">
        <v>236</v>
      </c>
      <c r="F6" t="s">
        <v>448</v>
      </c>
      <c r="G6" s="24">
        <v>45682.561111111114</v>
      </c>
      <c r="H6" s="24">
        <v>45682.561805555553</v>
      </c>
      <c r="I6" s="87">
        <v>0</v>
      </c>
      <c r="J6" s="87">
        <v>2.0833333333333332E-2</v>
      </c>
      <c r="K6" t="s">
        <v>232</v>
      </c>
      <c r="L6" t="s">
        <v>849</v>
      </c>
    </row>
    <row r="7" spans="1:12" x14ac:dyDescent="0.3">
      <c r="A7">
        <v>3013</v>
      </c>
      <c r="B7" t="s">
        <v>855</v>
      </c>
      <c r="C7" t="s">
        <v>856</v>
      </c>
      <c r="D7" s="72" t="s">
        <v>857</v>
      </c>
      <c r="E7" t="s">
        <v>236</v>
      </c>
      <c r="F7" t="s">
        <v>448</v>
      </c>
      <c r="G7" s="24">
        <v>45682.563888888886</v>
      </c>
      <c r="H7" s="24">
        <v>45684.395833333336</v>
      </c>
      <c r="I7" s="87">
        <v>0.39608796296296295</v>
      </c>
      <c r="J7" s="87">
        <v>2.0833333333333332E-2</v>
      </c>
      <c r="K7" t="s">
        <v>224</v>
      </c>
      <c r="L7" t="s">
        <v>849</v>
      </c>
    </row>
    <row r="8" spans="1:12" x14ac:dyDescent="0.3">
      <c r="A8">
        <v>3015</v>
      </c>
      <c r="B8" t="s">
        <v>23</v>
      </c>
      <c r="C8" t="s">
        <v>436</v>
      </c>
      <c r="D8" s="72" t="s">
        <v>858</v>
      </c>
      <c r="E8" t="s">
        <v>236</v>
      </c>
      <c r="F8" t="s">
        <v>448</v>
      </c>
      <c r="G8" s="24">
        <v>45684.397916666669</v>
      </c>
      <c r="H8" s="24">
        <v>45684.564583333333</v>
      </c>
      <c r="I8" s="87">
        <v>0.16719907407407408</v>
      </c>
      <c r="J8" s="87">
        <v>2.0833333333333332E-2</v>
      </c>
      <c r="K8" t="s">
        <v>224</v>
      </c>
      <c r="L8" t="s">
        <v>849</v>
      </c>
    </row>
    <row r="9" spans="1:12" x14ac:dyDescent="0.3">
      <c r="A9">
        <v>3024</v>
      </c>
      <c r="B9" t="s">
        <v>458</v>
      </c>
      <c r="C9" t="s">
        <v>374</v>
      </c>
      <c r="D9" s="72" t="s">
        <v>859</v>
      </c>
      <c r="E9" t="s">
        <v>236</v>
      </c>
      <c r="F9" t="s">
        <v>448</v>
      </c>
      <c r="G9" s="24">
        <v>45685.390972222223</v>
      </c>
      <c r="H9" s="24">
        <v>45691.604861111111</v>
      </c>
      <c r="I9" s="87">
        <v>4.2139351851851856</v>
      </c>
      <c r="J9" s="87">
        <v>2.0833333333333332E-2</v>
      </c>
      <c r="K9" t="s">
        <v>224</v>
      </c>
      <c r="L9" t="s">
        <v>849</v>
      </c>
    </row>
    <row r="10" spans="1:12" x14ac:dyDescent="0.3">
      <c r="A10">
        <v>3040</v>
      </c>
      <c r="B10" t="s">
        <v>23</v>
      </c>
      <c r="C10" t="s">
        <v>436</v>
      </c>
      <c r="D10" s="72" t="s">
        <v>860</v>
      </c>
      <c r="E10" t="s">
        <v>236</v>
      </c>
      <c r="F10" t="s">
        <v>448</v>
      </c>
      <c r="G10" s="24">
        <v>45687.613194444442</v>
      </c>
      <c r="H10" s="24">
        <v>45687.614583333336</v>
      </c>
      <c r="I10" s="87">
        <v>1.2152777777777778E-3</v>
      </c>
      <c r="J10" s="87">
        <v>2.0833333333333332E-2</v>
      </c>
      <c r="K10" t="s">
        <v>224</v>
      </c>
      <c r="L10" t="s">
        <v>849</v>
      </c>
    </row>
    <row r="11" spans="1:12" x14ac:dyDescent="0.3">
      <c r="A11">
        <v>3041</v>
      </c>
      <c r="B11" t="s">
        <v>23</v>
      </c>
      <c r="C11" t="s">
        <v>243</v>
      </c>
      <c r="D11" s="72" t="s">
        <v>861</v>
      </c>
      <c r="E11" t="s">
        <v>236</v>
      </c>
      <c r="F11" t="s">
        <v>448</v>
      </c>
      <c r="G11" s="24">
        <v>45687.618055555555</v>
      </c>
      <c r="H11" s="24">
        <v>45688.472222222219</v>
      </c>
      <c r="I11" s="87">
        <v>0.85395833333333337</v>
      </c>
      <c r="J11" s="87">
        <v>2.0833333333333332E-2</v>
      </c>
      <c r="K11" t="s">
        <v>224</v>
      </c>
      <c r="L11" t="s">
        <v>849</v>
      </c>
    </row>
    <row r="12" spans="1:12" x14ac:dyDescent="0.3">
      <c r="A12">
        <v>3061</v>
      </c>
      <c r="B12" t="s">
        <v>458</v>
      </c>
      <c r="C12" t="s">
        <v>862</v>
      </c>
      <c r="D12" t="s">
        <v>863</v>
      </c>
      <c r="E12" t="s">
        <v>236</v>
      </c>
      <c r="F12" t="s">
        <v>448</v>
      </c>
      <c r="G12" s="24">
        <v>45693.402083333334</v>
      </c>
      <c r="H12" s="24">
        <v>45693.411805555559</v>
      </c>
      <c r="I12" s="87">
        <v>9.8032407407407408E-3</v>
      </c>
      <c r="J12" s="87">
        <v>2.0833333333333332E-2</v>
      </c>
      <c r="K12" t="s">
        <v>224</v>
      </c>
      <c r="L12" t="s">
        <v>849</v>
      </c>
    </row>
    <row r="13" spans="1:12" x14ac:dyDescent="0.3">
      <c r="A13">
        <v>3062</v>
      </c>
      <c r="B13" t="s">
        <v>864</v>
      </c>
      <c r="C13" t="s">
        <v>865</v>
      </c>
      <c r="D13" t="s">
        <v>866</v>
      </c>
      <c r="E13" t="s">
        <v>236</v>
      </c>
      <c r="F13" t="s">
        <v>448</v>
      </c>
      <c r="G13" s="24">
        <v>45691.451388888891</v>
      </c>
      <c r="H13" s="24">
        <v>45693.456250000003</v>
      </c>
      <c r="I13" s="86">
        <v>2.005023148148148</v>
      </c>
      <c r="J13" s="87">
        <v>2.0833333333333332E-2</v>
      </c>
      <c r="K13" t="s">
        <v>224</v>
      </c>
      <c r="L13" t="s">
        <v>849</v>
      </c>
    </row>
    <row r="14" spans="1:12" ht="18" customHeight="1" x14ac:dyDescent="0.3">
      <c r="A14">
        <v>3093</v>
      </c>
      <c r="B14" s="72" t="s">
        <v>127</v>
      </c>
      <c r="C14" t="s">
        <v>867</v>
      </c>
      <c r="D14" s="72" t="s">
        <v>868</v>
      </c>
      <c r="E14" t="s">
        <v>236</v>
      </c>
      <c r="F14" t="s">
        <v>448</v>
      </c>
      <c r="G14" s="24">
        <v>45702.60833333333</v>
      </c>
      <c r="H14" s="24">
        <v>45702.609027777777</v>
      </c>
      <c r="I14" s="87">
        <v>1.1574074074074073E-3</v>
      </c>
      <c r="J14" s="87">
        <v>2.0833333333333332E-2</v>
      </c>
      <c r="K14" t="s">
        <v>224</v>
      </c>
      <c r="L14" t="s">
        <v>849</v>
      </c>
    </row>
    <row r="15" spans="1:12" ht="16.5" customHeight="1" x14ac:dyDescent="0.3">
      <c r="A15">
        <v>3094</v>
      </c>
      <c r="B15" s="72" t="s">
        <v>361</v>
      </c>
      <c r="C15" t="s">
        <v>362</v>
      </c>
      <c r="D15" s="72" t="s">
        <v>869</v>
      </c>
      <c r="E15" t="s">
        <v>236</v>
      </c>
      <c r="F15" t="s">
        <v>448</v>
      </c>
      <c r="G15" s="24">
        <v>45702.611111111109</v>
      </c>
      <c r="H15" s="24">
        <v>45702.611805555556</v>
      </c>
      <c r="I15" s="87">
        <v>5.3240740740740744E-4</v>
      </c>
      <c r="J15" s="87">
        <v>2.0833333333333332E-2</v>
      </c>
      <c r="K15" t="s">
        <v>224</v>
      </c>
      <c r="L15" t="s">
        <v>849</v>
      </c>
    </row>
    <row r="16" spans="1:12" ht="18.75" customHeight="1" x14ac:dyDescent="0.3">
      <c r="A16">
        <v>3095</v>
      </c>
      <c r="B16" s="72" t="s">
        <v>377</v>
      </c>
      <c r="C16" t="s">
        <v>870</v>
      </c>
      <c r="D16" s="72" t="s">
        <v>871</v>
      </c>
      <c r="E16" t="s">
        <v>236</v>
      </c>
      <c r="F16" t="s">
        <v>448</v>
      </c>
      <c r="G16" s="24">
        <v>45702.614583333336</v>
      </c>
      <c r="H16" s="24">
        <v>45702.615972222222</v>
      </c>
      <c r="I16" s="87">
        <v>1.25E-3</v>
      </c>
      <c r="J16" s="87">
        <v>2.0833333333333332E-2</v>
      </c>
      <c r="K16" t="s">
        <v>224</v>
      </c>
      <c r="L16" t="s">
        <v>849</v>
      </c>
    </row>
    <row r="17" spans="1:12" x14ac:dyDescent="0.3">
      <c r="A17">
        <v>3106</v>
      </c>
      <c r="B17" s="72" t="s">
        <v>872</v>
      </c>
      <c r="C17" t="s">
        <v>873</v>
      </c>
      <c r="D17" s="72" t="s">
        <v>874</v>
      </c>
      <c r="E17" t="s">
        <v>236</v>
      </c>
      <c r="F17" t="s">
        <v>448</v>
      </c>
      <c r="G17" s="24">
        <v>45708.447222222225</v>
      </c>
      <c r="H17" s="24">
        <v>45708.705555555556</v>
      </c>
      <c r="I17" s="87">
        <v>0.23986111111111111</v>
      </c>
      <c r="J17" s="87">
        <v>2.0833333333333332E-2</v>
      </c>
      <c r="K17" t="s">
        <v>224</v>
      </c>
      <c r="L17" t="s">
        <v>849</v>
      </c>
    </row>
    <row r="18" spans="1:12" x14ac:dyDescent="0.3">
      <c r="A18">
        <v>3107</v>
      </c>
      <c r="B18" t="s">
        <v>872</v>
      </c>
      <c r="C18" t="s">
        <v>873</v>
      </c>
      <c r="D18" t="s">
        <v>875</v>
      </c>
      <c r="E18" t="s">
        <v>236</v>
      </c>
      <c r="F18" t="s">
        <v>448</v>
      </c>
      <c r="G18" s="24">
        <v>45708.448611111111</v>
      </c>
      <c r="H18" s="24">
        <v>45708.706250000003</v>
      </c>
      <c r="I18" s="87">
        <v>0.23864583333333333</v>
      </c>
      <c r="J18" s="87">
        <v>2.0833333333333332E-2</v>
      </c>
      <c r="K18" t="s">
        <v>224</v>
      </c>
      <c r="L18" t="s">
        <v>849</v>
      </c>
    </row>
    <row r="19" spans="1:12" x14ac:dyDescent="0.3">
      <c r="A19">
        <v>3125</v>
      </c>
      <c r="B19" t="s">
        <v>226</v>
      </c>
      <c r="C19" t="s">
        <v>876</v>
      </c>
      <c r="D19" t="s">
        <v>877</v>
      </c>
      <c r="E19" t="s">
        <v>236</v>
      </c>
      <c r="F19" t="s">
        <v>448</v>
      </c>
      <c r="G19" s="24">
        <v>45714.356944444444</v>
      </c>
      <c r="H19" s="24">
        <v>45733.387499999997</v>
      </c>
      <c r="I19" s="87">
        <v>4.6348032407407409</v>
      </c>
      <c r="J19" s="87">
        <v>2.0833333333333332E-2</v>
      </c>
      <c r="K19" t="s">
        <v>224</v>
      </c>
      <c r="L19" t="s">
        <v>849</v>
      </c>
    </row>
    <row r="20" spans="1:12" x14ac:dyDescent="0.3">
      <c r="A20">
        <v>3166</v>
      </c>
      <c r="B20" t="s">
        <v>361</v>
      </c>
      <c r="C20" t="s">
        <v>362</v>
      </c>
      <c r="D20" t="s">
        <v>878</v>
      </c>
      <c r="E20" t="s">
        <v>236</v>
      </c>
      <c r="F20" t="s">
        <v>448</v>
      </c>
      <c r="G20" s="24">
        <v>45723.520138888889</v>
      </c>
      <c r="H20" s="24">
        <v>45723.522222222222</v>
      </c>
      <c r="I20" s="87">
        <v>2.476851851851852E-3</v>
      </c>
      <c r="J20" s="87">
        <v>2.0833333333333332E-2</v>
      </c>
      <c r="K20" t="s">
        <v>224</v>
      </c>
      <c r="L20" t="s">
        <v>849</v>
      </c>
    </row>
    <row r="21" spans="1:12" x14ac:dyDescent="0.3">
      <c r="A21">
        <v>3167</v>
      </c>
      <c r="B21" t="s">
        <v>23</v>
      </c>
      <c r="C21" t="s">
        <v>879</v>
      </c>
      <c r="D21" t="s">
        <v>880</v>
      </c>
      <c r="E21" t="s">
        <v>236</v>
      </c>
      <c r="F21" t="s">
        <v>448</v>
      </c>
      <c r="G21" s="24">
        <v>45726.399305555555</v>
      </c>
      <c r="H21" s="24">
        <v>45729.341666666667</v>
      </c>
      <c r="I21" s="86">
        <v>1.0044907407407409</v>
      </c>
      <c r="J21" s="87">
        <v>2.0833333333333332E-2</v>
      </c>
      <c r="K21" t="s">
        <v>224</v>
      </c>
      <c r="L21" t="s">
        <v>849</v>
      </c>
    </row>
    <row r="22" spans="1:12" x14ac:dyDescent="0.3">
      <c r="A22">
        <v>3173</v>
      </c>
      <c r="B22" t="s">
        <v>126</v>
      </c>
      <c r="C22" t="s">
        <v>881</v>
      </c>
      <c r="D22" t="s">
        <v>882</v>
      </c>
      <c r="E22" t="s">
        <v>236</v>
      </c>
      <c r="F22" t="s">
        <v>448</v>
      </c>
      <c r="G22" s="24">
        <v>45726.472222222219</v>
      </c>
      <c r="H22" s="24">
        <v>45726.508333333331</v>
      </c>
      <c r="I22" s="87">
        <v>3.6354166666666667E-2</v>
      </c>
      <c r="J22" s="87">
        <v>2.0833333333333332E-2</v>
      </c>
      <c r="K22" t="s">
        <v>224</v>
      </c>
      <c r="L22" t="s">
        <v>849</v>
      </c>
    </row>
    <row r="23" spans="1:12" x14ac:dyDescent="0.3">
      <c r="A23">
        <v>3179</v>
      </c>
      <c r="B23" t="s">
        <v>361</v>
      </c>
      <c r="C23" t="s">
        <v>362</v>
      </c>
      <c r="D23" t="s">
        <v>883</v>
      </c>
      <c r="E23" t="s">
        <v>236</v>
      </c>
      <c r="F23" t="s">
        <v>448</v>
      </c>
      <c r="G23" s="24">
        <v>45728.354861111111</v>
      </c>
      <c r="H23" s="24">
        <v>45728.355555555558</v>
      </c>
      <c r="I23" s="87">
        <v>8.4490740740740739E-4</v>
      </c>
      <c r="J23" s="87">
        <v>2.0833333333333332E-2</v>
      </c>
      <c r="K23" t="s">
        <v>224</v>
      </c>
      <c r="L23" t="s">
        <v>849</v>
      </c>
    </row>
    <row r="24" spans="1:12" x14ac:dyDescent="0.3">
      <c r="A24">
        <v>3180</v>
      </c>
      <c r="B24" t="s">
        <v>110</v>
      </c>
      <c r="C24" t="s">
        <v>315</v>
      </c>
      <c r="D24" t="s">
        <v>884</v>
      </c>
      <c r="E24" t="s">
        <v>236</v>
      </c>
      <c r="F24" t="s">
        <v>448</v>
      </c>
      <c r="G24" s="24">
        <v>45728.356944444444</v>
      </c>
      <c r="H24" s="24">
        <v>45728.356944444444</v>
      </c>
      <c r="I24" s="87">
        <v>5.7870370370370367E-4</v>
      </c>
      <c r="J24" s="87">
        <v>2.0833333333333332E-2</v>
      </c>
      <c r="K24" t="s">
        <v>224</v>
      </c>
      <c r="L24" t="s">
        <v>849</v>
      </c>
    </row>
    <row r="25" spans="1:12" x14ac:dyDescent="0.3">
      <c r="A25">
        <v>3181</v>
      </c>
      <c r="B25" t="s">
        <v>885</v>
      </c>
      <c r="C25" t="s">
        <v>886</v>
      </c>
      <c r="D25" t="s">
        <v>887</v>
      </c>
      <c r="E25" t="s">
        <v>236</v>
      </c>
      <c r="F25" t="s">
        <v>448</v>
      </c>
      <c r="G25" s="24">
        <v>45729.344444444447</v>
      </c>
      <c r="H25" s="24">
        <v>45729.345833333333</v>
      </c>
      <c r="I25" s="87">
        <v>9.4907407407407408E-4</v>
      </c>
      <c r="J25" s="87">
        <v>2.0833333333333332E-2</v>
      </c>
      <c r="K25" t="s">
        <v>224</v>
      </c>
      <c r="L25" t="s">
        <v>849</v>
      </c>
    </row>
    <row r="26" spans="1:12" x14ac:dyDescent="0.3">
      <c r="A26">
        <v>3193</v>
      </c>
      <c r="B26" t="s">
        <v>23</v>
      </c>
      <c r="C26" t="s">
        <v>888</v>
      </c>
      <c r="D26" t="s">
        <v>889</v>
      </c>
      <c r="E26" t="s">
        <v>236</v>
      </c>
      <c r="F26" t="s">
        <v>448</v>
      </c>
      <c r="G26" s="24">
        <v>45730.652083333334</v>
      </c>
      <c r="H26" s="24">
        <v>45744.511805555558</v>
      </c>
      <c r="I26" s="86">
        <v>3.4017939814814815</v>
      </c>
      <c r="J26" s="87">
        <v>2.0833333333333332E-2</v>
      </c>
      <c r="K26" t="s">
        <v>224</v>
      </c>
      <c r="L26" t="s">
        <v>849</v>
      </c>
    </row>
    <row r="27" spans="1:12" x14ac:dyDescent="0.3">
      <c r="A27">
        <v>3203</v>
      </c>
      <c r="B27" t="s">
        <v>110</v>
      </c>
      <c r="C27" t="s">
        <v>253</v>
      </c>
      <c r="D27" t="s">
        <v>890</v>
      </c>
      <c r="E27" t="s">
        <v>236</v>
      </c>
      <c r="F27" t="s">
        <v>448</v>
      </c>
      <c r="G27" s="24">
        <v>45728.332638888889</v>
      </c>
      <c r="H27" s="24">
        <v>45734.357638888891</v>
      </c>
      <c r="I27" s="86">
        <v>1.4410532407407408</v>
      </c>
      <c r="J27" s="87">
        <v>2.0833333333333332E-2</v>
      </c>
      <c r="K27" t="s">
        <v>224</v>
      </c>
      <c r="L27" t="s">
        <v>849</v>
      </c>
    </row>
    <row r="28" spans="1:12" x14ac:dyDescent="0.3">
      <c r="A28">
        <v>3204</v>
      </c>
      <c r="B28" t="s">
        <v>110</v>
      </c>
      <c r="C28" t="s">
        <v>253</v>
      </c>
      <c r="D28" t="s">
        <v>891</v>
      </c>
      <c r="E28" t="s">
        <v>236</v>
      </c>
      <c r="F28" t="s">
        <v>448</v>
      </c>
      <c r="G28" s="24">
        <v>45734.334722222222</v>
      </c>
      <c r="H28" s="24">
        <v>45734.377083333333</v>
      </c>
      <c r="I28" s="87">
        <v>4.2696759259259261E-2</v>
      </c>
      <c r="J28" s="87">
        <v>2.0833333333333332E-2</v>
      </c>
      <c r="K28" t="s">
        <v>224</v>
      </c>
      <c r="L28" t="s">
        <v>849</v>
      </c>
    </row>
    <row r="29" spans="1:12" x14ac:dyDescent="0.3">
      <c r="A29">
        <v>3205</v>
      </c>
      <c r="B29" t="s">
        <v>864</v>
      </c>
      <c r="C29" t="s">
        <v>892</v>
      </c>
      <c r="D29" t="s">
        <v>893</v>
      </c>
      <c r="E29" t="s">
        <v>236</v>
      </c>
      <c r="F29" t="s">
        <v>448</v>
      </c>
      <c r="G29" s="24">
        <v>45734.353472222225</v>
      </c>
      <c r="H29" s="24">
        <v>45737.451388888891</v>
      </c>
      <c r="I29" s="86">
        <v>1.1602083333333333</v>
      </c>
      <c r="J29" s="87">
        <v>2.0833333333333332E-2</v>
      </c>
      <c r="K29" t="s">
        <v>224</v>
      </c>
      <c r="L29" t="s">
        <v>849</v>
      </c>
    </row>
    <row r="30" spans="1:12" x14ac:dyDescent="0.3">
      <c r="A30">
        <v>3209</v>
      </c>
      <c r="B30" t="s">
        <v>23</v>
      </c>
      <c r="C30" t="s">
        <v>436</v>
      </c>
      <c r="D30" t="s">
        <v>894</v>
      </c>
      <c r="E30" t="s">
        <v>236</v>
      </c>
      <c r="F30" t="s">
        <v>448</v>
      </c>
      <c r="G30" s="24">
        <v>45735.438888888886</v>
      </c>
      <c r="H30" s="24">
        <v>45740.409722222219</v>
      </c>
      <c r="I30" s="86">
        <v>1.0328819444444444</v>
      </c>
      <c r="J30" s="87">
        <v>2.0833333333333332E-2</v>
      </c>
      <c r="K30" t="s">
        <v>224</v>
      </c>
      <c r="L30" t="s">
        <v>849</v>
      </c>
    </row>
    <row r="31" spans="1:12" x14ac:dyDescent="0.3">
      <c r="A31">
        <v>3230</v>
      </c>
      <c r="B31" t="s">
        <v>23</v>
      </c>
      <c r="C31" t="s">
        <v>243</v>
      </c>
      <c r="D31" t="s">
        <v>895</v>
      </c>
      <c r="E31" t="s">
        <v>236</v>
      </c>
      <c r="F31" t="s">
        <v>448</v>
      </c>
      <c r="G31" s="24">
        <v>45737.436805555553</v>
      </c>
      <c r="H31" s="24">
        <v>45737.438194444447</v>
      </c>
      <c r="I31" s="87">
        <v>8.7962962962962962E-4</v>
      </c>
      <c r="J31" s="87">
        <v>2.0833333333333332E-2</v>
      </c>
      <c r="K31" t="s">
        <v>224</v>
      </c>
      <c r="L31" t="s">
        <v>849</v>
      </c>
    </row>
    <row r="32" spans="1:12" x14ac:dyDescent="0.3">
      <c r="A32">
        <v>3231</v>
      </c>
      <c r="B32" t="s">
        <v>30</v>
      </c>
      <c r="C32" t="s">
        <v>896</v>
      </c>
      <c r="D32" t="s">
        <v>897</v>
      </c>
      <c r="E32" t="s">
        <v>236</v>
      </c>
      <c r="F32" t="s">
        <v>448</v>
      </c>
      <c r="G32" s="24">
        <v>45737.439583333333</v>
      </c>
      <c r="H32" s="24">
        <v>45737.440972222219</v>
      </c>
      <c r="I32" s="87">
        <v>1.1574074074074073E-3</v>
      </c>
      <c r="J32" s="87">
        <v>2.0833333333333332E-2</v>
      </c>
      <c r="K32" t="s">
        <v>224</v>
      </c>
      <c r="L32" t="s">
        <v>849</v>
      </c>
    </row>
    <row r="33" spans="1:12" x14ac:dyDescent="0.3">
      <c r="A33">
        <v>3695</v>
      </c>
      <c r="B33" t="s">
        <v>361</v>
      </c>
      <c r="C33" t="s">
        <v>362</v>
      </c>
      <c r="D33" t="s">
        <v>898</v>
      </c>
      <c r="E33" t="s">
        <v>236</v>
      </c>
      <c r="F33" t="s">
        <v>448</v>
      </c>
      <c r="G33" s="24">
        <v>45751.371527777781</v>
      </c>
      <c r="H33" s="24">
        <v>45873.408333333333</v>
      </c>
      <c r="I33" s="87">
        <v>0.74571759259259263</v>
      </c>
      <c r="J33" s="87">
        <v>2.0833333333333332E-2</v>
      </c>
      <c r="K33" t="s">
        <v>224</v>
      </c>
      <c r="L33" t="s">
        <v>849</v>
      </c>
    </row>
    <row r="34" spans="1:12" x14ac:dyDescent="0.3">
      <c r="A34">
        <v>3722</v>
      </c>
      <c r="B34" t="s">
        <v>361</v>
      </c>
      <c r="C34" t="s">
        <v>362</v>
      </c>
      <c r="D34" t="s">
        <v>899</v>
      </c>
      <c r="E34" t="s">
        <v>236</v>
      </c>
      <c r="F34" t="s">
        <v>448</v>
      </c>
      <c r="G34" s="24">
        <v>45761.386111111111</v>
      </c>
      <c r="H34" s="24">
        <v>45761.388194444444</v>
      </c>
      <c r="I34" s="87">
        <v>2.0138888888888888E-3</v>
      </c>
      <c r="J34" s="87">
        <v>2.0833333333333332E-2</v>
      </c>
      <c r="K34" t="s">
        <v>224</v>
      </c>
      <c r="L34" t="s">
        <v>849</v>
      </c>
    </row>
    <row r="35" spans="1:12" x14ac:dyDescent="0.3">
      <c r="A35" t="s">
        <v>900</v>
      </c>
      <c r="B35" t="s">
        <v>23</v>
      </c>
      <c r="C35" t="s">
        <v>901</v>
      </c>
      <c r="D35" t="s">
        <v>902</v>
      </c>
      <c r="E35" t="s">
        <v>236</v>
      </c>
      <c r="F35" t="s">
        <v>448</v>
      </c>
      <c r="G35" s="24">
        <v>45720</v>
      </c>
      <c r="H35" s="24">
        <v>45720.359027777777</v>
      </c>
      <c r="I35" t="s">
        <v>903</v>
      </c>
      <c r="J35" t="s">
        <v>904</v>
      </c>
      <c r="K35" t="s">
        <v>224</v>
      </c>
      <c r="L35" t="s">
        <v>849</v>
      </c>
    </row>
    <row r="36" spans="1:12" x14ac:dyDescent="0.3">
      <c r="A36" t="s">
        <v>905</v>
      </c>
      <c r="B36" t="s">
        <v>23</v>
      </c>
      <c r="C36" t="s">
        <v>906</v>
      </c>
      <c r="D36" t="s">
        <v>907</v>
      </c>
      <c r="E36" t="s">
        <v>236</v>
      </c>
      <c r="F36" t="s">
        <v>448</v>
      </c>
      <c r="G36" s="24">
        <v>45720</v>
      </c>
      <c r="H36" s="24">
        <v>45720</v>
      </c>
      <c r="I36" t="s">
        <v>908</v>
      </c>
      <c r="J36" t="s">
        <v>904</v>
      </c>
      <c r="K36" t="s">
        <v>224</v>
      </c>
      <c r="L36" t="s">
        <v>849</v>
      </c>
    </row>
    <row r="37" spans="1:12" x14ac:dyDescent="0.3">
      <c r="A37" t="s">
        <v>909</v>
      </c>
      <c r="B37" t="s">
        <v>23</v>
      </c>
      <c r="C37" t="s">
        <v>243</v>
      </c>
      <c r="D37" t="s">
        <v>910</v>
      </c>
      <c r="E37" t="s">
        <v>236</v>
      </c>
      <c r="F37" t="s">
        <v>448</v>
      </c>
      <c r="G37" s="24">
        <v>45720</v>
      </c>
      <c r="H37" s="24">
        <v>45720.363194444442</v>
      </c>
      <c r="I37" t="s">
        <v>911</v>
      </c>
      <c r="J37" t="s">
        <v>904</v>
      </c>
      <c r="K37" t="s">
        <v>224</v>
      </c>
      <c r="L37" t="s">
        <v>849</v>
      </c>
    </row>
    <row r="38" spans="1:12" x14ac:dyDescent="0.3">
      <c r="A38" t="s">
        <v>912</v>
      </c>
      <c r="B38" t="s">
        <v>361</v>
      </c>
      <c r="C38" t="s">
        <v>362</v>
      </c>
      <c r="D38" t="s">
        <v>913</v>
      </c>
      <c r="E38" t="s">
        <v>236</v>
      </c>
      <c r="F38" t="s">
        <v>448</v>
      </c>
      <c r="G38" s="24">
        <v>45720</v>
      </c>
      <c r="H38" s="24">
        <v>45720.362500000003</v>
      </c>
      <c r="I38" t="s">
        <v>914</v>
      </c>
      <c r="J38" t="s">
        <v>904</v>
      </c>
      <c r="K38" t="s">
        <v>224</v>
      </c>
      <c r="L38" t="s">
        <v>849</v>
      </c>
    </row>
    <row r="39" spans="1:12" x14ac:dyDescent="0.3">
      <c r="A39" t="s">
        <v>915</v>
      </c>
      <c r="B39" t="s">
        <v>361</v>
      </c>
      <c r="C39" t="s">
        <v>362</v>
      </c>
      <c r="D39" t="s">
        <v>916</v>
      </c>
      <c r="E39" t="s">
        <v>236</v>
      </c>
      <c r="F39" t="s">
        <v>448</v>
      </c>
      <c r="G39" s="24">
        <v>45720</v>
      </c>
      <c r="H39" s="24">
        <v>45720.367361111108</v>
      </c>
      <c r="I39" t="s">
        <v>917</v>
      </c>
      <c r="J39" t="s">
        <v>904</v>
      </c>
      <c r="K39" t="s">
        <v>224</v>
      </c>
      <c r="L39" t="s">
        <v>849</v>
      </c>
    </row>
    <row r="40" spans="1:12" x14ac:dyDescent="0.3">
      <c r="A40" t="s">
        <v>918</v>
      </c>
      <c r="B40" t="s">
        <v>361</v>
      </c>
      <c r="C40" t="s">
        <v>362</v>
      </c>
      <c r="D40" t="s">
        <v>919</v>
      </c>
      <c r="E40" t="s">
        <v>236</v>
      </c>
      <c r="F40" t="s">
        <v>448</v>
      </c>
      <c r="G40" s="24">
        <v>45720</v>
      </c>
      <c r="H40" s="24">
        <v>45720.369444444441</v>
      </c>
      <c r="I40" t="s">
        <v>920</v>
      </c>
      <c r="J40" t="s">
        <v>904</v>
      </c>
      <c r="K40" t="s">
        <v>224</v>
      </c>
      <c r="L40" t="s">
        <v>849</v>
      </c>
    </row>
    <row r="41" spans="1:12" x14ac:dyDescent="0.3">
      <c r="A41" t="s">
        <v>921</v>
      </c>
      <c r="B41" t="s">
        <v>361</v>
      </c>
      <c r="C41" t="s">
        <v>362</v>
      </c>
      <c r="D41" t="s">
        <v>922</v>
      </c>
      <c r="E41" t="s">
        <v>236</v>
      </c>
      <c r="F41" t="s">
        <v>448</v>
      </c>
      <c r="G41" s="24">
        <v>45720</v>
      </c>
      <c r="H41" s="24">
        <v>45720.372916666667</v>
      </c>
      <c r="I41" t="s">
        <v>923</v>
      </c>
      <c r="J41" t="s">
        <v>904</v>
      </c>
      <c r="K41" t="s">
        <v>224</v>
      </c>
      <c r="L41" t="s">
        <v>849</v>
      </c>
    </row>
    <row r="42" spans="1:12" x14ac:dyDescent="0.3">
      <c r="A42" t="s">
        <v>924</v>
      </c>
      <c r="B42" t="s">
        <v>290</v>
      </c>
      <c r="C42" t="s">
        <v>265</v>
      </c>
      <c r="D42" t="s">
        <v>925</v>
      </c>
      <c r="E42" t="s">
        <v>236</v>
      </c>
      <c r="F42" t="s">
        <v>448</v>
      </c>
      <c r="G42" s="24">
        <v>45720</v>
      </c>
      <c r="H42" s="24">
        <v>45720.381944444445</v>
      </c>
      <c r="I42" t="s">
        <v>926</v>
      </c>
      <c r="J42" t="s">
        <v>904</v>
      </c>
      <c r="K42" t="s">
        <v>224</v>
      </c>
      <c r="L42" t="s">
        <v>849</v>
      </c>
    </row>
    <row r="43" spans="1:12" x14ac:dyDescent="0.3">
      <c r="A43" t="s">
        <v>927</v>
      </c>
      <c r="B43" t="s">
        <v>226</v>
      </c>
      <c r="C43" t="s">
        <v>381</v>
      </c>
      <c r="D43" t="s">
        <v>928</v>
      </c>
      <c r="E43" t="s">
        <v>236</v>
      </c>
      <c r="F43" t="s">
        <v>448</v>
      </c>
      <c r="G43" s="24">
        <v>45755</v>
      </c>
      <c r="H43" s="24">
        <v>45873.623611111114</v>
      </c>
      <c r="I43" t="s">
        <v>929</v>
      </c>
      <c r="J43" t="s">
        <v>904</v>
      </c>
      <c r="K43" t="s">
        <v>224</v>
      </c>
      <c r="L43" t="s">
        <v>849</v>
      </c>
    </row>
    <row r="44" spans="1:12" x14ac:dyDescent="0.3">
      <c r="A44" t="s">
        <v>839</v>
      </c>
      <c r="B44" s="71" t="s">
        <v>190</v>
      </c>
      <c r="C44" s="71" t="s">
        <v>190</v>
      </c>
      <c r="D44" t="s">
        <v>930</v>
      </c>
      <c r="E44" t="s">
        <v>236</v>
      </c>
      <c r="F44" t="s">
        <v>448</v>
      </c>
      <c r="G44" s="24">
        <v>45768.243371388889</v>
      </c>
      <c r="H44" s="24">
        <v>45769.370201921294</v>
      </c>
      <c r="K44" t="s">
        <v>224</v>
      </c>
      <c r="L44" t="s">
        <v>849</v>
      </c>
    </row>
    <row r="45" spans="1:12" x14ac:dyDescent="0.3">
      <c r="A45" t="s">
        <v>931</v>
      </c>
      <c r="D45" t="s">
        <v>932</v>
      </c>
      <c r="E45" t="s">
        <v>236</v>
      </c>
      <c r="F45" t="s">
        <v>448</v>
      </c>
      <c r="G45" s="24">
        <v>45769.198759768522</v>
      </c>
      <c r="H45" s="24">
        <v>45771.101874976855</v>
      </c>
      <c r="K45" t="s">
        <v>224</v>
      </c>
      <c r="L45" t="s">
        <v>849</v>
      </c>
    </row>
    <row r="46" spans="1:12" x14ac:dyDescent="0.3">
      <c r="A46" t="s">
        <v>933</v>
      </c>
      <c r="D46" t="s">
        <v>934</v>
      </c>
      <c r="E46" t="s">
        <v>236</v>
      </c>
      <c r="F46" t="s">
        <v>448</v>
      </c>
      <c r="G46" s="24">
        <v>45770.105428240742</v>
      </c>
      <c r="H46" s="24">
        <v>45772.241361539353</v>
      </c>
      <c r="K46" t="s">
        <v>224</v>
      </c>
      <c r="L46" t="s">
        <v>849</v>
      </c>
    </row>
    <row r="47" spans="1:12" x14ac:dyDescent="0.3">
      <c r="A47" t="s">
        <v>935</v>
      </c>
      <c r="D47" t="s">
        <v>936</v>
      </c>
      <c r="E47" t="s">
        <v>236</v>
      </c>
      <c r="F47" t="s">
        <v>448</v>
      </c>
      <c r="G47" s="24">
        <v>45771.233047453701</v>
      </c>
      <c r="H47" s="24">
        <v>45772.233941689818</v>
      </c>
      <c r="K47" t="s">
        <v>224</v>
      </c>
      <c r="L47" t="s">
        <v>849</v>
      </c>
    </row>
    <row r="48" spans="1:12" x14ac:dyDescent="0.3">
      <c r="A48" t="s">
        <v>937</v>
      </c>
      <c r="B48" t="s">
        <v>938</v>
      </c>
      <c r="C48" t="s">
        <v>938</v>
      </c>
      <c r="D48" t="s">
        <v>939</v>
      </c>
      <c r="E48" t="s">
        <v>236</v>
      </c>
      <c r="F48" t="s">
        <v>448</v>
      </c>
      <c r="G48" s="24">
        <v>45775.379179328702</v>
      </c>
      <c r="H48" s="24">
        <v>45775.379347881943</v>
      </c>
      <c r="K48" t="s">
        <v>224</v>
      </c>
      <c r="L48" t="s">
        <v>849</v>
      </c>
    </row>
    <row r="49" spans="1:12" x14ac:dyDescent="0.3">
      <c r="A49" t="s">
        <v>940</v>
      </c>
      <c r="B49" t="s">
        <v>938</v>
      </c>
      <c r="C49" t="s">
        <v>938</v>
      </c>
      <c r="D49" t="s">
        <v>941</v>
      </c>
      <c r="E49" t="s">
        <v>236</v>
      </c>
      <c r="F49" t="s">
        <v>448</v>
      </c>
      <c r="G49" s="24">
        <v>45775.38155604167</v>
      </c>
      <c r="H49" s="24">
        <v>45775.38174271991</v>
      </c>
      <c r="K49" t="s">
        <v>224</v>
      </c>
      <c r="L49" t="s">
        <v>849</v>
      </c>
    </row>
    <row r="50" spans="1:12" x14ac:dyDescent="0.3">
      <c r="A50" t="s">
        <v>942</v>
      </c>
      <c r="B50" t="s">
        <v>864</v>
      </c>
      <c r="C50" t="s">
        <v>864</v>
      </c>
      <c r="D50" t="s">
        <v>943</v>
      </c>
      <c r="E50" t="s">
        <v>236</v>
      </c>
      <c r="F50" t="s">
        <v>448</v>
      </c>
      <c r="G50" s="24">
        <v>45775.384047500003</v>
      </c>
      <c r="H50" s="24">
        <v>45775.384233912038</v>
      </c>
      <c r="K50" t="s">
        <v>224</v>
      </c>
      <c r="L50" t="s">
        <v>849</v>
      </c>
    </row>
    <row r="51" spans="1:12" x14ac:dyDescent="0.3">
      <c r="A51" t="s">
        <v>944</v>
      </c>
      <c r="B51" t="s">
        <v>945</v>
      </c>
      <c r="C51" t="s">
        <v>945</v>
      </c>
      <c r="D51" t="s">
        <v>946</v>
      </c>
      <c r="E51" t="s">
        <v>236</v>
      </c>
      <c r="F51" t="s">
        <v>448</v>
      </c>
      <c r="G51" s="24">
        <v>45779.250868622687</v>
      </c>
      <c r="H51" s="24" t="s">
        <v>947</v>
      </c>
      <c r="K51" t="s">
        <v>224</v>
      </c>
      <c r="L51" t="s">
        <v>849</v>
      </c>
    </row>
    <row r="52" spans="1:12" x14ac:dyDescent="0.3">
      <c r="A52" s="34" t="s">
        <v>948</v>
      </c>
      <c r="B52" s="34" t="s">
        <v>949</v>
      </c>
      <c r="C52" s="34" t="s">
        <v>949</v>
      </c>
      <c r="D52" s="34" t="s">
        <v>950</v>
      </c>
      <c r="E52" t="s">
        <v>236</v>
      </c>
      <c r="F52" t="s">
        <v>448</v>
      </c>
      <c r="G52" s="88">
        <v>45786</v>
      </c>
      <c r="H52" s="88">
        <v>45786</v>
      </c>
      <c r="K52" t="s">
        <v>224</v>
      </c>
      <c r="L52" t="s">
        <v>849</v>
      </c>
    </row>
    <row r="53" spans="1:12" x14ac:dyDescent="0.3">
      <c r="A53" s="34" t="s">
        <v>951</v>
      </c>
      <c r="B53" s="34" t="s">
        <v>952</v>
      </c>
      <c r="C53" s="34" t="s">
        <v>952</v>
      </c>
      <c r="D53" s="34" t="s">
        <v>953</v>
      </c>
      <c r="E53" t="s">
        <v>236</v>
      </c>
      <c r="F53" t="s">
        <v>448</v>
      </c>
      <c r="G53" s="88">
        <v>45785</v>
      </c>
      <c r="H53" s="88">
        <v>45905</v>
      </c>
      <c r="K53" t="s">
        <v>224</v>
      </c>
      <c r="L53" t="s">
        <v>849</v>
      </c>
    </row>
    <row r="54" spans="1:12" x14ac:dyDescent="0.3">
      <c r="A54" s="34" t="s">
        <v>954</v>
      </c>
      <c r="B54" s="34" t="s">
        <v>949</v>
      </c>
      <c r="C54" s="34" t="s">
        <v>949</v>
      </c>
      <c r="D54" s="34" t="s">
        <v>955</v>
      </c>
      <c r="E54" t="s">
        <v>236</v>
      </c>
      <c r="F54" t="s">
        <v>448</v>
      </c>
      <c r="G54" s="88">
        <v>45786</v>
      </c>
      <c r="K54" t="s">
        <v>224</v>
      </c>
      <c r="L54" t="s">
        <v>849</v>
      </c>
    </row>
    <row r="55" spans="1:12" x14ac:dyDescent="0.3">
      <c r="A55" s="34" t="s">
        <v>956</v>
      </c>
      <c r="B55" s="34" t="s">
        <v>957</v>
      </c>
      <c r="C55" s="34" t="s">
        <v>957</v>
      </c>
      <c r="D55" s="34" t="s">
        <v>958</v>
      </c>
      <c r="E55" t="s">
        <v>236</v>
      </c>
      <c r="F55" t="s">
        <v>448</v>
      </c>
      <c r="G55" s="88">
        <v>45786</v>
      </c>
      <c r="K55" t="s">
        <v>224</v>
      </c>
      <c r="L55" t="s">
        <v>849</v>
      </c>
    </row>
    <row r="56" spans="1:12" x14ac:dyDescent="0.3">
      <c r="A56" s="34" t="s">
        <v>959</v>
      </c>
      <c r="B56" s="34" t="s">
        <v>960</v>
      </c>
      <c r="C56" s="34" t="s">
        <v>960</v>
      </c>
      <c r="D56" s="34" t="s">
        <v>961</v>
      </c>
      <c r="E56" t="s">
        <v>236</v>
      </c>
      <c r="F56" t="s">
        <v>448</v>
      </c>
      <c r="G56" s="88">
        <v>45791.319444444445</v>
      </c>
      <c r="H56" s="88">
        <v>45793.319444444445</v>
      </c>
      <c r="K56" t="s">
        <v>224</v>
      </c>
      <c r="L56" t="s">
        <v>849</v>
      </c>
    </row>
    <row r="57" spans="1:12" x14ac:dyDescent="0.3">
      <c r="A57" s="34" t="s">
        <v>962</v>
      </c>
      <c r="B57" s="34" t="s">
        <v>960</v>
      </c>
      <c r="C57" s="34" t="s">
        <v>960</v>
      </c>
      <c r="D57" s="34" t="s">
        <v>963</v>
      </c>
      <c r="E57" t="s">
        <v>236</v>
      </c>
      <c r="F57" t="s">
        <v>448</v>
      </c>
      <c r="G57" s="88">
        <v>45791.321527777778</v>
      </c>
      <c r="H57" s="88">
        <v>45793.321527777778</v>
      </c>
      <c r="K57" t="s">
        <v>224</v>
      </c>
      <c r="L57" t="s">
        <v>849</v>
      </c>
    </row>
    <row r="58" spans="1:12" x14ac:dyDescent="0.3">
      <c r="A58" s="34" t="s">
        <v>964</v>
      </c>
      <c r="B58" s="34" t="s">
        <v>965</v>
      </c>
      <c r="C58" s="34" t="s">
        <v>965</v>
      </c>
      <c r="D58" s="34" t="s">
        <v>966</v>
      </c>
      <c r="E58" t="s">
        <v>236</v>
      </c>
      <c r="F58" t="s">
        <v>448</v>
      </c>
      <c r="G58" s="88">
        <v>45791.322916666664</v>
      </c>
      <c r="H58" s="88">
        <v>45793.322916666664</v>
      </c>
      <c r="K58" t="s">
        <v>224</v>
      </c>
      <c r="L58" t="s">
        <v>849</v>
      </c>
    </row>
    <row r="59" spans="1:12" x14ac:dyDescent="0.3">
      <c r="A59" s="34" t="s">
        <v>967</v>
      </c>
      <c r="B59" s="34" t="s">
        <v>968</v>
      </c>
      <c r="C59" s="34" t="s">
        <v>968</v>
      </c>
      <c r="D59" s="34" t="s">
        <v>969</v>
      </c>
      <c r="E59" t="s">
        <v>236</v>
      </c>
      <c r="F59" t="s">
        <v>448</v>
      </c>
      <c r="G59" s="88">
        <v>45793.309027777781</v>
      </c>
      <c r="H59" s="88">
        <v>45793.309027777781</v>
      </c>
      <c r="K59" t="s">
        <v>224</v>
      </c>
      <c r="L59" t="s">
        <v>849</v>
      </c>
    </row>
    <row r="60" spans="1:12" x14ac:dyDescent="0.3">
      <c r="A60" s="34" t="s">
        <v>970</v>
      </c>
      <c r="B60" s="34" t="s">
        <v>968</v>
      </c>
      <c r="C60" s="34" t="s">
        <v>968</v>
      </c>
      <c r="D60" s="34" t="s">
        <v>971</v>
      </c>
      <c r="E60" t="s">
        <v>236</v>
      </c>
      <c r="F60" t="s">
        <v>448</v>
      </c>
      <c r="G60" s="88">
        <v>45793.311111111114</v>
      </c>
      <c r="H60" s="88">
        <v>45793.311111111114</v>
      </c>
      <c r="K60" t="s">
        <v>224</v>
      </c>
      <c r="L60" t="s">
        <v>849</v>
      </c>
    </row>
    <row r="61" spans="1:12" x14ac:dyDescent="0.3">
      <c r="A61" s="34" t="s">
        <v>972</v>
      </c>
      <c r="B61" s="34" t="s">
        <v>973</v>
      </c>
      <c r="C61" s="34" t="s">
        <v>973</v>
      </c>
      <c r="D61" s="34" t="s">
        <v>974</v>
      </c>
      <c r="E61" t="s">
        <v>236</v>
      </c>
      <c r="F61" t="s">
        <v>448</v>
      </c>
      <c r="G61" s="24">
        <v>45800</v>
      </c>
      <c r="K61" t="s">
        <v>224</v>
      </c>
      <c r="L61" t="s">
        <v>849</v>
      </c>
    </row>
    <row r="62" spans="1:12" x14ac:dyDescent="0.3">
      <c r="A62" s="34" t="s">
        <v>574</v>
      </c>
      <c r="B62" s="34" t="s">
        <v>25</v>
      </c>
      <c r="C62" s="34" t="s">
        <v>25</v>
      </c>
      <c r="D62" s="34" t="s">
        <v>975</v>
      </c>
      <c r="E62" t="s">
        <v>236</v>
      </c>
      <c r="F62" t="s">
        <v>448</v>
      </c>
      <c r="G62" s="24">
        <v>45806</v>
      </c>
      <c r="H62" s="24">
        <v>45807</v>
      </c>
      <c r="K62" t="s">
        <v>224</v>
      </c>
      <c r="L62" t="s">
        <v>849</v>
      </c>
    </row>
    <row r="63" spans="1:12" x14ac:dyDescent="0.3">
      <c r="A63" s="34" t="s">
        <v>581</v>
      </c>
      <c r="B63" s="34" t="s">
        <v>25</v>
      </c>
      <c r="C63" s="34" t="s">
        <v>25</v>
      </c>
      <c r="D63" s="34" t="s">
        <v>976</v>
      </c>
      <c r="E63" t="s">
        <v>236</v>
      </c>
      <c r="F63" t="s">
        <v>448</v>
      </c>
      <c r="G63" s="24">
        <v>45807</v>
      </c>
      <c r="H63" s="24">
        <v>45807</v>
      </c>
      <c r="K63" t="s">
        <v>224</v>
      </c>
      <c r="L63" t="s">
        <v>849</v>
      </c>
    </row>
    <row r="64" spans="1:12" x14ac:dyDescent="0.3">
      <c r="A64" s="34" t="s">
        <v>977</v>
      </c>
      <c r="B64" s="34" t="s">
        <v>25</v>
      </c>
      <c r="C64" s="34" t="s">
        <v>25</v>
      </c>
      <c r="D64" s="34" t="s">
        <v>978</v>
      </c>
      <c r="E64" t="s">
        <v>236</v>
      </c>
      <c r="F64" t="s">
        <v>448</v>
      </c>
      <c r="G64" s="24">
        <v>45811</v>
      </c>
      <c r="H64" s="24">
        <v>45814</v>
      </c>
      <c r="K64" s="34" t="s">
        <v>979</v>
      </c>
      <c r="L64" t="s">
        <v>849</v>
      </c>
    </row>
    <row r="65" spans="1:12" x14ac:dyDescent="0.3">
      <c r="A65" s="34" t="s">
        <v>980</v>
      </c>
      <c r="B65" s="34" t="s">
        <v>253</v>
      </c>
      <c r="C65" s="34" t="s">
        <v>253</v>
      </c>
      <c r="D65" s="34" t="s">
        <v>981</v>
      </c>
      <c r="E65" t="s">
        <v>236</v>
      </c>
      <c r="F65" t="s">
        <v>448</v>
      </c>
      <c r="G65" s="24">
        <v>45811</v>
      </c>
      <c r="H65" s="24">
        <v>45814</v>
      </c>
      <c r="K65" t="s">
        <v>224</v>
      </c>
      <c r="L65" t="s">
        <v>849</v>
      </c>
    </row>
    <row r="66" spans="1:12" x14ac:dyDescent="0.3">
      <c r="A66" s="34" t="s">
        <v>586</v>
      </c>
      <c r="B66" t="s">
        <v>885</v>
      </c>
      <c r="C66" t="s">
        <v>885</v>
      </c>
      <c r="D66" t="s">
        <v>982</v>
      </c>
      <c r="E66" t="s">
        <v>236</v>
      </c>
      <c r="F66" t="s">
        <v>448</v>
      </c>
      <c r="G66" s="24">
        <v>45820</v>
      </c>
      <c r="H66" s="24">
        <v>45821</v>
      </c>
      <c r="K66" t="s">
        <v>224</v>
      </c>
      <c r="L66" t="s">
        <v>849</v>
      </c>
    </row>
    <row r="67" spans="1:12" x14ac:dyDescent="0.3">
      <c r="A67" s="34" t="s">
        <v>983</v>
      </c>
      <c r="B67" t="s">
        <v>885</v>
      </c>
      <c r="C67" t="s">
        <v>885</v>
      </c>
      <c r="D67" t="s">
        <v>984</v>
      </c>
      <c r="E67" t="s">
        <v>236</v>
      </c>
      <c r="F67" t="s">
        <v>448</v>
      </c>
      <c r="G67" s="24">
        <v>45820</v>
      </c>
      <c r="H67" s="24">
        <v>45821</v>
      </c>
      <c r="K67" t="s">
        <v>224</v>
      </c>
      <c r="L67" t="s">
        <v>849</v>
      </c>
    </row>
    <row r="68" spans="1:12" x14ac:dyDescent="0.3">
      <c r="A68" s="34" t="s">
        <v>985</v>
      </c>
      <c r="B68" t="s">
        <v>938</v>
      </c>
      <c r="C68" t="s">
        <v>938</v>
      </c>
      <c r="D68" t="s">
        <v>986</v>
      </c>
      <c r="E68" t="s">
        <v>236</v>
      </c>
      <c r="F68" t="s">
        <v>448</v>
      </c>
      <c r="G68" s="24">
        <v>45821</v>
      </c>
      <c r="K68" t="s">
        <v>224</v>
      </c>
      <c r="L68" t="s">
        <v>849</v>
      </c>
    </row>
    <row r="69" spans="1:12" x14ac:dyDescent="0.3">
      <c r="A69" s="34" t="s">
        <v>987</v>
      </c>
      <c r="B69" t="s">
        <v>988</v>
      </c>
      <c r="C69" t="s">
        <v>988</v>
      </c>
      <c r="D69" t="s">
        <v>989</v>
      </c>
      <c r="E69" t="s">
        <v>236</v>
      </c>
      <c r="F69" t="s">
        <v>448</v>
      </c>
      <c r="G69" s="24">
        <v>45821</v>
      </c>
      <c r="H69" s="24">
        <v>45821</v>
      </c>
      <c r="K69" t="s">
        <v>224</v>
      </c>
      <c r="L69" t="s">
        <v>849</v>
      </c>
    </row>
    <row r="70" spans="1:12" x14ac:dyDescent="0.3">
      <c r="A70" s="34" t="s">
        <v>990</v>
      </c>
      <c r="B70" s="80" t="s">
        <v>885</v>
      </c>
      <c r="C70" t="s">
        <v>885</v>
      </c>
      <c r="D70" t="s">
        <v>991</v>
      </c>
      <c r="E70" t="s">
        <v>236</v>
      </c>
      <c r="F70" t="s">
        <v>448</v>
      </c>
      <c r="G70" s="24">
        <v>45824</v>
      </c>
      <c r="H70" s="24">
        <v>45826</v>
      </c>
      <c r="K70" t="s">
        <v>224</v>
      </c>
      <c r="L70" t="s">
        <v>849</v>
      </c>
    </row>
    <row r="71" spans="1:12" x14ac:dyDescent="0.3">
      <c r="A71" s="34" t="s">
        <v>992</v>
      </c>
      <c r="B71" t="s">
        <v>993</v>
      </c>
      <c r="C71" t="s">
        <v>993</v>
      </c>
      <c r="D71" t="s">
        <v>994</v>
      </c>
      <c r="E71" t="s">
        <v>236</v>
      </c>
      <c r="F71" t="s">
        <v>448</v>
      </c>
      <c r="G71" s="24">
        <v>45826</v>
      </c>
      <c r="H71" s="24">
        <v>45826</v>
      </c>
      <c r="K71" t="s">
        <v>224</v>
      </c>
      <c r="L71" t="s">
        <v>849</v>
      </c>
    </row>
    <row r="72" spans="1:12" x14ac:dyDescent="0.3">
      <c r="A72" s="34" t="s">
        <v>995</v>
      </c>
      <c r="B72" s="34" t="s">
        <v>996</v>
      </c>
      <c r="C72" s="34" t="s">
        <v>996</v>
      </c>
      <c r="D72" s="34" t="s">
        <v>997</v>
      </c>
      <c r="E72" t="s">
        <v>236</v>
      </c>
      <c r="F72" t="s">
        <v>448</v>
      </c>
      <c r="G72" s="24">
        <v>45832</v>
      </c>
      <c r="H72" s="24">
        <v>45832</v>
      </c>
      <c r="K72" t="s">
        <v>224</v>
      </c>
      <c r="L72" t="s">
        <v>849</v>
      </c>
    </row>
    <row r="73" spans="1:12" x14ac:dyDescent="0.3">
      <c r="A73" s="34" t="s">
        <v>998</v>
      </c>
      <c r="B73" s="34" t="s">
        <v>389</v>
      </c>
      <c r="C73" s="34" t="s">
        <v>389</v>
      </c>
      <c r="D73" s="34" t="s">
        <v>999</v>
      </c>
      <c r="E73" t="s">
        <v>236</v>
      </c>
      <c r="F73" t="s">
        <v>448</v>
      </c>
      <c r="G73" s="24">
        <v>45833</v>
      </c>
      <c r="H73" s="24">
        <v>45833</v>
      </c>
      <c r="K73" t="s">
        <v>224</v>
      </c>
      <c r="L73" t="s">
        <v>849</v>
      </c>
    </row>
    <row r="74" spans="1:12" x14ac:dyDescent="0.3">
      <c r="A74" s="34" t="s">
        <v>600</v>
      </c>
      <c r="B74" s="34" t="s">
        <v>458</v>
      </c>
      <c r="C74" s="34" t="s">
        <v>458</v>
      </c>
      <c r="D74" s="34" t="s">
        <v>1000</v>
      </c>
      <c r="E74" t="s">
        <v>236</v>
      </c>
      <c r="F74" t="s">
        <v>448</v>
      </c>
      <c r="G74" s="24">
        <v>45833</v>
      </c>
      <c r="H74" s="24">
        <v>45834</v>
      </c>
      <c r="K74" t="s">
        <v>224</v>
      </c>
      <c r="L74" t="s">
        <v>849</v>
      </c>
    </row>
    <row r="75" spans="1:12" x14ac:dyDescent="0.3">
      <c r="A75" s="34" t="s">
        <v>1001</v>
      </c>
      <c r="B75" s="34" t="s">
        <v>1002</v>
      </c>
      <c r="C75" s="34" t="s">
        <v>1002</v>
      </c>
      <c r="D75" s="34" t="s">
        <v>1003</v>
      </c>
      <c r="E75" t="s">
        <v>236</v>
      </c>
      <c r="F75" t="s">
        <v>448</v>
      </c>
      <c r="G75" s="24">
        <v>45835</v>
      </c>
      <c r="H75" s="24">
        <v>45835</v>
      </c>
      <c r="K75" t="s">
        <v>224</v>
      </c>
      <c r="L75" t="s">
        <v>849</v>
      </c>
    </row>
    <row r="76" spans="1:12" x14ac:dyDescent="0.3">
      <c r="A76" s="34" t="s">
        <v>592</v>
      </c>
      <c r="B76" s="34" t="s">
        <v>74</v>
      </c>
      <c r="C76" s="34" t="s">
        <v>74</v>
      </c>
      <c r="D76" s="34" t="s">
        <v>1004</v>
      </c>
      <c r="E76" t="s">
        <v>236</v>
      </c>
      <c r="F76" t="s">
        <v>448</v>
      </c>
      <c r="G76" s="24">
        <v>45839</v>
      </c>
      <c r="H76" s="24">
        <v>45839</v>
      </c>
      <c r="K76" t="s">
        <v>224</v>
      </c>
      <c r="L76" t="s">
        <v>849</v>
      </c>
    </row>
    <row r="77" spans="1:12" x14ac:dyDescent="0.3">
      <c r="A77" s="34" t="s">
        <v>1005</v>
      </c>
      <c r="B77" s="34" t="s">
        <v>361</v>
      </c>
      <c r="C77" s="34" t="s">
        <v>361</v>
      </c>
      <c r="D77" s="34" t="s">
        <v>1006</v>
      </c>
      <c r="E77" t="s">
        <v>236</v>
      </c>
      <c r="F77" t="s">
        <v>448</v>
      </c>
      <c r="G77" s="24">
        <v>45841</v>
      </c>
      <c r="H77" s="24">
        <v>45849</v>
      </c>
      <c r="K77" t="s">
        <v>224</v>
      </c>
      <c r="L77" t="s">
        <v>849</v>
      </c>
    </row>
    <row r="78" spans="1:12" x14ac:dyDescent="0.3">
      <c r="A78" s="34" t="s">
        <v>1007</v>
      </c>
      <c r="B78" s="34" t="s">
        <v>361</v>
      </c>
      <c r="C78" s="34" t="s">
        <v>361</v>
      </c>
      <c r="D78" s="34" t="s">
        <v>1008</v>
      </c>
      <c r="E78" t="s">
        <v>236</v>
      </c>
      <c r="F78" t="s">
        <v>448</v>
      </c>
      <c r="G78" s="24">
        <v>45842</v>
      </c>
      <c r="H78" s="24">
        <v>45842</v>
      </c>
      <c r="K78" t="s">
        <v>224</v>
      </c>
      <c r="L78" t="s">
        <v>849</v>
      </c>
    </row>
    <row r="79" spans="1:12" x14ac:dyDescent="0.3">
      <c r="A79" t="s">
        <v>614</v>
      </c>
      <c r="B79" s="34" t="s">
        <v>25</v>
      </c>
      <c r="C79" s="34" t="s">
        <v>25</v>
      </c>
      <c r="D79" s="34" t="s">
        <v>1009</v>
      </c>
      <c r="E79" t="s">
        <v>236</v>
      </c>
      <c r="F79" t="s">
        <v>448</v>
      </c>
      <c r="G79" s="24">
        <v>45845</v>
      </c>
      <c r="H79" s="24">
        <v>45849</v>
      </c>
      <c r="K79" t="s">
        <v>224</v>
      </c>
      <c r="L79" t="s">
        <v>1010</v>
      </c>
    </row>
    <row r="80" spans="1:12" x14ac:dyDescent="0.3">
      <c r="A80" t="s">
        <v>618</v>
      </c>
      <c r="B80" s="34" t="s">
        <v>25</v>
      </c>
      <c r="C80" s="34" t="s">
        <v>25</v>
      </c>
      <c r="D80" s="34" t="s">
        <v>1011</v>
      </c>
      <c r="E80" t="s">
        <v>236</v>
      </c>
      <c r="F80" t="s">
        <v>448</v>
      </c>
      <c r="G80" s="24">
        <v>45845</v>
      </c>
      <c r="H80" s="24">
        <v>45849</v>
      </c>
      <c r="K80" t="s">
        <v>224</v>
      </c>
      <c r="L80" t="s">
        <v>1010</v>
      </c>
    </row>
    <row r="81" spans="1:12" x14ac:dyDescent="0.3">
      <c r="A81" t="s">
        <v>1012</v>
      </c>
      <c r="B81" s="34" t="s">
        <v>1013</v>
      </c>
      <c r="C81" s="34" t="s">
        <v>1013</v>
      </c>
      <c r="D81" s="34" t="s">
        <v>1014</v>
      </c>
      <c r="E81" t="s">
        <v>236</v>
      </c>
      <c r="F81" t="s">
        <v>448</v>
      </c>
      <c r="G81" s="24">
        <v>45846</v>
      </c>
      <c r="H81" s="24">
        <v>45849</v>
      </c>
      <c r="K81" t="s">
        <v>224</v>
      </c>
      <c r="L81" t="s">
        <v>1010</v>
      </c>
    </row>
    <row r="82" spans="1:12" x14ac:dyDescent="0.3">
      <c r="A82" t="s">
        <v>1015</v>
      </c>
      <c r="B82" s="34" t="s">
        <v>1013</v>
      </c>
      <c r="C82" s="34" t="s">
        <v>1013</v>
      </c>
      <c r="D82" s="34" t="s">
        <v>1016</v>
      </c>
      <c r="E82" t="s">
        <v>236</v>
      </c>
      <c r="F82" t="s">
        <v>448</v>
      </c>
      <c r="G82" s="24">
        <v>45847</v>
      </c>
      <c r="H82" s="24">
        <v>45849</v>
      </c>
      <c r="K82" t="s">
        <v>224</v>
      </c>
      <c r="L82" t="s">
        <v>1010</v>
      </c>
    </row>
    <row r="83" spans="1:12" x14ac:dyDescent="0.3">
      <c r="A83" t="s">
        <v>1017</v>
      </c>
      <c r="B83" s="34" t="s">
        <v>1018</v>
      </c>
      <c r="C83" s="34" t="s">
        <v>1018</v>
      </c>
      <c r="D83" s="34" t="s">
        <v>1019</v>
      </c>
      <c r="E83" t="s">
        <v>236</v>
      </c>
      <c r="F83" t="s">
        <v>448</v>
      </c>
      <c r="G83" s="24">
        <v>45848</v>
      </c>
      <c r="H83" s="88">
        <v>45856</v>
      </c>
      <c r="K83" t="s">
        <v>224</v>
      </c>
      <c r="L83" t="s">
        <v>1010</v>
      </c>
    </row>
    <row r="84" spans="1:12" x14ac:dyDescent="0.3">
      <c r="A84" s="34" t="s">
        <v>1020</v>
      </c>
      <c r="B84" s="34" t="s">
        <v>945</v>
      </c>
      <c r="C84" s="34" t="s">
        <v>945</v>
      </c>
      <c r="D84" s="34" t="s">
        <v>1021</v>
      </c>
      <c r="E84" t="s">
        <v>236</v>
      </c>
      <c r="F84" t="s">
        <v>448</v>
      </c>
      <c r="G84" s="88">
        <v>45853</v>
      </c>
      <c r="H84" s="88">
        <v>45856</v>
      </c>
      <c r="K84" t="s">
        <v>224</v>
      </c>
      <c r="L84" t="s">
        <v>1010</v>
      </c>
    </row>
    <row r="85" spans="1:12" x14ac:dyDescent="0.3">
      <c r="A85" s="34" t="s">
        <v>1022</v>
      </c>
      <c r="B85" s="34" t="s">
        <v>864</v>
      </c>
      <c r="C85" s="34" t="s">
        <v>864</v>
      </c>
      <c r="D85" s="34" t="s">
        <v>194</v>
      </c>
      <c r="E85" t="s">
        <v>236</v>
      </c>
      <c r="F85" t="s">
        <v>448</v>
      </c>
      <c r="G85" s="88">
        <v>45855</v>
      </c>
      <c r="H85" s="88">
        <v>45856</v>
      </c>
      <c r="K85" t="s">
        <v>224</v>
      </c>
      <c r="L85" t="s">
        <v>1010</v>
      </c>
    </row>
    <row r="86" spans="1:12" x14ac:dyDescent="0.3">
      <c r="A86" s="34" t="s">
        <v>1023</v>
      </c>
      <c r="B86" s="34" t="s">
        <v>872</v>
      </c>
      <c r="C86" s="34" t="s">
        <v>872</v>
      </c>
      <c r="D86" s="34" t="s">
        <v>1024</v>
      </c>
      <c r="E86" t="s">
        <v>236</v>
      </c>
      <c r="F86" t="s">
        <v>448</v>
      </c>
      <c r="G86" s="88">
        <v>45862</v>
      </c>
      <c r="H86" s="88">
        <v>45863</v>
      </c>
      <c r="K86" t="s">
        <v>224</v>
      </c>
      <c r="L86" t="s">
        <v>1010</v>
      </c>
    </row>
    <row r="87" spans="1:12" x14ac:dyDescent="0.3">
      <c r="A87" s="34" t="s">
        <v>1025</v>
      </c>
      <c r="B87" s="34" t="s">
        <v>25</v>
      </c>
      <c r="C87" s="34" t="s">
        <v>25</v>
      </c>
      <c r="D87" s="34" t="s">
        <v>1026</v>
      </c>
      <c r="E87" t="s">
        <v>236</v>
      </c>
      <c r="F87" t="s">
        <v>448</v>
      </c>
      <c r="G87" s="88">
        <v>45861</v>
      </c>
      <c r="H87" s="88">
        <v>45864</v>
      </c>
      <c r="K87" t="s">
        <v>224</v>
      </c>
      <c r="L87" t="s">
        <v>1010</v>
      </c>
    </row>
    <row r="88" spans="1:12" x14ac:dyDescent="0.3">
      <c r="A88" s="34" t="s">
        <v>621</v>
      </c>
      <c r="B88" s="34" t="s">
        <v>25</v>
      </c>
      <c r="C88" s="34" t="s">
        <v>25</v>
      </c>
      <c r="D88" s="34" t="s">
        <v>1027</v>
      </c>
      <c r="E88" t="s">
        <v>236</v>
      </c>
      <c r="F88" t="s">
        <v>448</v>
      </c>
      <c r="G88" s="88">
        <v>45862</v>
      </c>
      <c r="H88" s="88">
        <v>45865</v>
      </c>
      <c r="K88" t="s">
        <v>224</v>
      </c>
      <c r="L88" t="s">
        <v>1010</v>
      </c>
    </row>
    <row r="89" spans="1:12" x14ac:dyDescent="0.3">
      <c r="A89" s="34" t="s">
        <v>1028</v>
      </c>
      <c r="B89" s="34" t="s">
        <v>945</v>
      </c>
      <c r="C89" s="34" t="s">
        <v>945</v>
      </c>
      <c r="D89" s="34" t="s">
        <v>1029</v>
      </c>
      <c r="E89" t="s">
        <v>236</v>
      </c>
      <c r="F89" t="s">
        <v>448</v>
      </c>
      <c r="G89" s="88">
        <v>45868</v>
      </c>
      <c r="H89" s="88">
        <v>45870</v>
      </c>
      <c r="K89" t="s">
        <v>224</v>
      </c>
      <c r="L89" t="s">
        <v>1010</v>
      </c>
    </row>
    <row r="90" spans="1:12" x14ac:dyDescent="0.3">
      <c r="A90" s="34" t="s">
        <v>623</v>
      </c>
      <c r="B90" s="34" t="s">
        <v>25</v>
      </c>
      <c r="C90" s="34" t="s">
        <v>25</v>
      </c>
      <c r="D90" s="34" t="s">
        <v>1030</v>
      </c>
      <c r="E90" t="s">
        <v>236</v>
      </c>
      <c r="F90" t="s">
        <v>448</v>
      </c>
      <c r="G90" s="88">
        <v>45870</v>
      </c>
      <c r="H90" s="88">
        <v>45870</v>
      </c>
      <c r="K90" t="s">
        <v>224</v>
      </c>
      <c r="L90" t="s">
        <v>1010</v>
      </c>
    </row>
    <row r="91" spans="1:12" x14ac:dyDescent="0.3">
      <c r="A91" s="48" t="s">
        <v>1031</v>
      </c>
      <c r="B91" s="48" t="s">
        <v>25</v>
      </c>
      <c r="C91" s="48" t="s">
        <v>25</v>
      </c>
      <c r="D91" s="48" t="s">
        <v>1027</v>
      </c>
      <c r="E91" s="48" t="s">
        <v>236</v>
      </c>
      <c r="F91" s="48" t="s">
        <v>448</v>
      </c>
      <c r="G91" s="89">
        <v>45877</v>
      </c>
      <c r="H91" s="89">
        <v>45877</v>
      </c>
      <c r="I91" s="48" t="s">
        <v>224</v>
      </c>
      <c r="J91" s="48" t="s">
        <v>1010</v>
      </c>
      <c r="K91" t="s">
        <v>224</v>
      </c>
      <c r="L91" t="s">
        <v>1010</v>
      </c>
    </row>
    <row r="92" spans="1:12" x14ac:dyDescent="0.3">
      <c r="A92" s="48" t="s">
        <v>631</v>
      </c>
      <c r="B92" s="34" t="s">
        <v>945</v>
      </c>
      <c r="C92" s="34" t="s">
        <v>945</v>
      </c>
      <c r="D92" s="34" t="s">
        <v>1032</v>
      </c>
      <c r="E92" s="48" t="s">
        <v>236</v>
      </c>
      <c r="F92" s="48" t="s">
        <v>448</v>
      </c>
      <c r="G92" s="24">
        <v>45887</v>
      </c>
      <c r="H92" s="24">
        <v>45889</v>
      </c>
      <c r="K92" t="s">
        <v>224</v>
      </c>
      <c r="L92" t="s">
        <v>1010</v>
      </c>
    </row>
    <row r="93" spans="1:12" x14ac:dyDescent="0.3">
      <c r="A93" s="48" t="s">
        <v>1033</v>
      </c>
      <c r="B93" s="34" t="s">
        <v>945</v>
      </c>
      <c r="C93" s="34" t="s">
        <v>945</v>
      </c>
      <c r="D93" s="34" t="s">
        <v>1034</v>
      </c>
      <c r="E93" s="48" t="s">
        <v>236</v>
      </c>
      <c r="F93" s="48" t="s">
        <v>448</v>
      </c>
      <c r="G93" s="24">
        <v>45889</v>
      </c>
      <c r="H93" s="24">
        <v>45889</v>
      </c>
      <c r="K93" t="s">
        <v>224</v>
      </c>
      <c r="L93" t="s">
        <v>1010</v>
      </c>
    </row>
    <row r="94" spans="1:12" x14ac:dyDescent="0.3">
      <c r="A94" s="48" t="s">
        <v>1035</v>
      </c>
      <c r="B94" s="34" t="s">
        <v>945</v>
      </c>
      <c r="C94" s="34" t="s">
        <v>945</v>
      </c>
      <c r="D94" s="34" t="s">
        <v>1036</v>
      </c>
      <c r="E94" s="48" t="s">
        <v>236</v>
      </c>
      <c r="F94" s="48" t="s">
        <v>448</v>
      </c>
      <c r="G94" s="24">
        <v>45889</v>
      </c>
      <c r="H94" s="24">
        <v>45889</v>
      </c>
      <c r="K94" t="s">
        <v>224</v>
      </c>
      <c r="L94" t="s">
        <v>1010</v>
      </c>
    </row>
    <row r="95" spans="1:12" x14ac:dyDescent="0.3">
      <c r="A95" s="48" t="s">
        <v>1037</v>
      </c>
      <c r="B95" s="34" t="s">
        <v>945</v>
      </c>
      <c r="C95" s="34" t="s">
        <v>945</v>
      </c>
      <c r="D95" s="34" t="s">
        <v>1038</v>
      </c>
      <c r="E95" s="48" t="s">
        <v>236</v>
      </c>
      <c r="F95" s="48" t="s">
        <v>448</v>
      </c>
      <c r="G95" s="24">
        <v>45889</v>
      </c>
      <c r="H95" s="24">
        <v>45889</v>
      </c>
      <c r="K95" t="s">
        <v>224</v>
      </c>
      <c r="L95" t="s">
        <v>1010</v>
      </c>
    </row>
    <row r="96" spans="1:12" x14ac:dyDescent="0.3">
      <c r="A96" s="34" t="s">
        <v>1039</v>
      </c>
      <c r="B96" s="34" t="s">
        <v>1040</v>
      </c>
      <c r="C96" s="34" t="s">
        <v>1040</v>
      </c>
      <c r="D96" s="34" t="s">
        <v>1041</v>
      </c>
      <c r="E96" s="48" t="s">
        <v>236</v>
      </c>
      <c r="F96" s="48" t="s">
        <v>448</v>
      </c>
      <c r="G96" s="24">
        <v>45905</v>
      </c>
      <c r="H96" s="24">
        <v>45905</v>
      </c>
      <c r="K96" t="s">
        <v>224</v>
      </c>
      <c r="L96" t="s">
        <v>1010</v>
      </c>
    </row>
    <row r="97" spans="1:12" x14ac:dyDescent="0.3">
      <c r="A97" s="34" t="s">
        <v>1042</v>
      </c>
      <c r="B97" s="34" t="s">
        <v>1040</v>
      </c>
      <c r="C97" s="34" t="s">
        <v>1040</v>
      </c>
      <c r="D97" s="34" t="s">
        <v>1043</v>
      </c>
      <c r="E97" s="48" t="s">
        <v>236</v>
      </c>
      <c r="F97" s="48" t="s">
        <v>448</v>
      </c>
      <c r="G97" s="24">
        <v>45905</v>
      </c>
      <c r="H97" s="24">
        <v>45905</v>
      </c>
      <c r="K97" t="s">
        <v>224</v>
      </c>
      <c r="L97" t="s">
        <v>1010</v>
      </c>
    </row>
    <row r="98" spans="1:12" x14ac:dyDescent="0.3">
      <c r="A98" s="34" t="s">
        <v>637</v>
      </c>
      <c r="B98" s="34" t="s">
        <v>458</v>
      </c>
      <c r="C98" s="34" t="s">
        <v>458</v>
      </c>
      <c r="D98" s="34" t="s">
        <v>1044</v>
      </c>
      <c r="E98" s="48" t="s">
        <v>236</v>
      </c>
      <c r="F98" s="48" t="s">
        <v>448</v>
      </c>
      <c r="G98" s="88">
        <v>45915.58761574074</v>
      </c>
      <c r="H98" s="88">
        <v>45915</v>
      </c>
      <c r="K98" t="s">
        <v>224</v>
      </c>
      <c r="L98" t="s">
        <v>1010</v>
      </c>
    </row>
    <row r="99" spans="1:12" x14ac:dyDescent="0.3">
      <c r="A99" s="34" t="s">
        <v>1045</v>
      </c>
      <c r="B99" s="34" t="s">
        <v>1046</v>
      </c>
      <c r="C99" s="34" t="s">
        <v>1046</v>
      </c>
      <c r="D99" s="34" t="s">
        <v>554</v>
      </c>
      <c r="E99" s="48" t="s">
        <v>236</v>
      </c>
      <c r="F99" s="48" t="s">
        <v>448</v>
      </c>
      <c r="G99" s="24">
        <v>45926</v>
      </c>
      <c r="H99" s="24">
        <v>45926</v>
      </c>
      <c r="K99" t="s">
        <v>224</v>
      </c>
      <c r="L99" t="s">
        <v>1010</v>
      </c>
    </row>
    <row r="100" spans="1:12" x14ac:dyDescent="0.3">
      <c r="A100" s="48" t="s">
        <v>1047</v>
      </c>
      <c r="B100" s="48" t="s">
        <v>361</v>
      </c>
      <c r="C100" s="48" t="s">
        <v>361</v>
      </c>
      <c r="D100" s="48" t="s">
        <v>1048</v>
      </c>
      <c r="E100" s="48" t="s">
        <v>236</v>
      </c>
      <c r="F100" s="48" t="s">
        <v>448</v>
      </c>
      <c r="G100" s="89">
        <v>45931</v>
      </c>
      <c r="H100" s="89">
        <v>45931</v>
      </c>
      <c r="I100" s="48" t="s">
        <v>224</v>
      </c>
      <c r="J100" s="48" t="s">
        <v>1010</v>
      </c>
      <c r="K100" t="s">
        <v>224</v>
      </c>
      <c r="L100" t="s">
        <v>1010</v>
      </c>
    </row>
    <row r="101" spans="1:12" x14ac:dyDescent="0.3">
      <c r="A101" s="48" t="s">
        <v>1049</v>
      </c>
      <c r="B101" s="48" t="s">
        <v>361</v>
      </c>
      <c r="C101" s="48" t="s">
        <v>361</v>
      </c>
      <c r="D101" s="48" t="s">
        <v>1050</v>
      </c>
      <c r="E101" s="48" t="s">
        <v>236</v>
      </c>
      <c r="F101" s="48" t="s">
        <v>448</v>
      </c>
      <c r="G101" s="89">
        <v>45931</v>
      </c>
      <c r="H101" s="89">
        <v>45931</v>
      </c>
      <c r="I101" s="48" t="s">
        <v>224</v>
      </c>
      <c r="J101" s="48" t="s">
        <v>1010</v>
      </c>
      <c r="K101" t="s">
        <v>224</v>
      </c>
      <c r="L101" t="s">
        <v>1010</v>
      </c>
    </row>
    <row r="102" spans="1:12" x14ac:dyDescent="0.3">
      <c r="A102" s="48" t="s">
        <v>1051</v>
      </c>
      <c r="B102" s="48" t="s">
        <v>1052</v>
      </c>
      <c r="C102" s="48" t="s">
        <v>1052</v>
      </c>
      <c r="D102" s="48" t="s">
        <v>1053</v>
      </c>
      <c r="E102" s="48" t="s">
        <v>236</v>
      </c>
      <c r="F102" s="48" t="s">
        <v>448</v>
      </c>
      <c r="G102" s="89">
        <v>45931</v>
      </c>
      <c r="H102" s="89">
        <v>45931</v>
      </c>
      <c r="I102" s="48" t="s">
        <v>224</v>
      </c>
      <c r="J102" s="48" t="s">
        <v>1010</v>
      </c>
      <c r="K102" t="s">
        <v>224</v>
      </c>
      <c r="L102" t="s">
        <v>1010</v>
      </c>
    </row>
    <row r="103" spans="1:12" x14ac:dyDescent="0.3">
      <c r="A103" s="48" t="s">
        <v>1054</v>
      </c>
      <c r="B103" s="48" t="s">
        <v>1055</v>
      </c>
      <c r="C103" s="48" t="s">
        <v>1055</v>
      </c>
      <c r="D103" s="48" t="s">
        <v>1056</v>
      </c>
      <c r="E103" s="48" t="s">
        <v>236</v>
      </c>
      <c r="F103" s="48" t="s">
        <v>448</v>
      </c>
      <c r="G103" s="24">
        <v>45937</v>
      </c>
      <c r="H103" s="24">
        <v>45937</v>
      </c>
      <c r="K103" t="s">
        <v>224</v>
      </c>
      <c r="L103" t="s">
        <v>1010</v>
      </c>
    </row>
    <row r="104" spans="1:12" x14ac:dyDescent="0.3">
      <c r="A104" s="48" t="s">
        <v>1057</v>
      </c>
      <c r="B104" s="48" t="s">
        <v>290</v>
      </c>
      <c r="C104" s="48" t="s">
        <v>290</v>
      </c>
      <c r="D104" s="48" t="s">
        <v>107</v>
      </c>
      <c r="E104" s="48" t="s">
        <v>236</v>
      </c>
      <c r="F104" s="48" t="s">
        <v>448</v>
      </c>
      <c r="G104" s="24">
        <v>45938</v>
      </c>
      <c r="H104" s="24">
        <v>45938</v>
      </c>
      <c r="K104" t="s">
        <v>224</v>
      </c>
      <c r="L104" t="s">
        <v>1010</v>
      </c>
    </row>
    <row r="105" spans="1:12" x14ac:dyDescent="0.3">
      <c r="A105" s="48" t="s">
        <v>1058</v>
      </c>
      <c r="B105" s="48" t="s">
        <v>1055</v>
      </c>
      <c r="C105" s="48" t="s">
        <v>1055</v>
      </c>
      <c r="D105" s="34" t="s">
        <v>1059</v>
      </c>
      <c r="E105" s="48" t="s">
        <v>236</v>
      </c>
      <c r="F105" s="48" t="s">
        <v>448</v>
      </c>
      <c r="G105" s="24">
        <v>45952</v>
      </c>
      <c r="H105" s="24">
        <v>45954</v>
      </c>
      <c r="K105" t="s">
        <v>224</v>
      </c>
      <c r="L105" t="s">
        <v>1010</v>
      </c>
    </row>
    <row r="106" spans="1:12" x14ac:dyDescent="0.3">
      <c r="A106" s="34" t="s">
        <v>1060</v>
      </c>
      <c r="B106" s="48" t="s">
        <v>1061</v>
      </c>
      <c r="C106" s="48" t="s">
        <v>1061</v>
      </c>
      <c r="D106" s="34" t="s">
        <v>1062</v>
      </c>
      <c r="E106" s="48" t="s">
        <v>236</v>
      </c>
      <c r="F106" s="48" t="s">
        <v>448</v>
      </c>
      <c r="G106" s="24">
        <v>45968</v>
      </c>
      <c r="H106" s="24">
        <v>45968</v>
      </c>
      <c r="K106" t="s">
        <v>224</v>
      </c>
      <c r="L106" t="s">
        <v>1010</v>
      </c>
    </row>
    <row r="107" spans="1:12" x14ac:dyDescent="0.3">
      <c r="A107" s="34" t="s">
        <v>1063</v>
      </c>
      <c r="B107" s="34" t="s">
        <v>237</v>
      </c>
      <c r="C107" s="34" t="s">
        <v>237</v>
      </c>
      <c r="D107" s="34" t="s">
        <v>1064</v>
      </c>
      <c r="E107" s="48" t="s">
        <v>236</v>
      </c>
      <c r="F107" s="48" t="s">
        <v>448</v>
      </c>
      <c r="G107" s="88">
        <v>45972</v>
      </c>
      <c r="H107" s="88">
        <v>45972</v>
      </c>
      <c r="K107" t="s">
        <v>224</v>
      </c>
      <c r="L107" t="s">
        <v>849</v>
      </c>
    </row>
    <row r="108" spans="1:12" x14ac:dyDescent="0.3">
      <c r="A108" s="34" t="s">
        <v>1065</v>
      </c>
      <c r="B108" s="34" t="s">
        <v>361</v>
      </c>
      <c r="C108" s="34" t="s">
        <v>361</v>
      </c>
      <c r="D108" s="34" t="s">
        <v>1066</v>
      </c>
      <c r="E108" s="48" t="s">
        <v>236</v>
      </c>
      <c r="F108" s="48" t="s">
        <v>448</v>
      </c>
      <c r="G108" s="88">
        <v>45974</v>
      </c>
      <c r="K108" t="s">
        <v>224</v>
      </c>
      <c r="L108" t="s">
        <v>1067</v>
      </c>
    </row>
    <row r="109" spans="1:12" x14ac:dyDescent="0.3">
      <c r="A109" s="34" t="s">
        <v>1068</v>
      </c>
      <c r="B109" s="34" t="s">
        <v>361</v>
      </c>
      <c r="C109" s="34" t="s">
        <v>361</v>
      </c>
      <c r="D109" s="34" t="s">
        <v>1069</v>
      </c>
      <c r="E109" s="48" t="s">
        <v>236</v>
      </c>
      <c r="F109" s="48" t="s">
        <v>448</v>
      </c>
      <c r="G109" s="24" t="s">
        <v>1070</v>
      </c>
      <c r="H109" s="34" t="s">
        <v>1070</v>
      </c>
      <c r="K109" t="s">
        <v>224</v>
      </c>
      <c r="L109" t="s">
        <v>849</v>
      </c>
    </row>
    <row r="110" spans="1:12" x14ac:dyDescent="0.3">
      <c r="A110" s="34" t="s">
        <v>1071</v>
      </c>
      <c r="B110" s="34" t="s">
        <v>968</v>
      </c>
      <c r="C110" s="34" t="s">
        <v>968</v>
      </c>
      <c r="D110" s="34" t="s">
        <v>617</v>
      </c>
      <c r="E110" s="48" t="s">
        <v>236</v>
      </c>
      <c r="F110" s="48" t="s">
        <v>448</v>
      </c>
      <c r="G110" s="24" t="s">
        <v>1072</v>
      </c>
      <c r="H110" s="34" t="s">
        <v>1073</v>
      </c>
      <c r="K110" t="s">
        <v>224</v>
      </c>
      <c r="L110" t="s">
        <v>849</v>
      </c>
    </row>
    <row r="111" spans="1:12" x14ac:dyDescent="0.3">
      <c r="A111" s="34" t="s">
        <v>1074</v>
      </c>
      <c r="B111" s="34" t="s">
        <v>1075</v>
      </c>
      <c r="C111" s="34" t="s">
        <v>1075</v>
      </c>
      <c r="D111" s="34" t="s">
        <v>1076</v>
      </c>
      <c r="E111" s="48" t="s">
        <v>236</v>
      </c>
      <c r="F111" s="48" t="s">
        <v>448</v>
      </c>
      <c r="G111" s="24" t="s">
        <v>1073</v>
      </c>
      <c r="H111" s="34" t="s">
        <v>1073</v>
      </c>
      <c r="K111" t="s">
        <v>224</v>
      </c>
      <c r="L111" t="s">
        <v>849</v>
      </c>
    </row>
    <row r="112" spans="1:12" x14ac:dyDescent="0.3">
      <c r="A112" s="48" t="s">
        <v>1077</v>
      </c>
      <c r="B112" s="48" t="s">
        <v>361</v>
      </c>
      <c r="C112" s="48" t="s">
        <v>361</v>
      </c>
      <c r="D112" s="48" t="s">
        <v>1078</v>
      </c>
      <c r="E112" s="48" t="s">
        <v>236</v>
      </c>
      <c r="F112" s="48" t="s">
        <v>448</v>
      </c>
      <c r="G112" s="89">
        <v>45988</v>
      </c>
      <c r="H112" s="89">
        <v>45988</v>
      </c>
      <c r="I112" s="48" t="s">
        <v>224</v>
      </c>
      <c r="J112" s="48" t="s">
        <v>849</v>
      </c>
      <c r="K112" t="s">
        <v>224</v>
      </c>
      <c r="L112" t="s">
        <v>849</v>
      </c>
    </row>
    <row r="113" spans="1:12" x14ac:dyDescent="0.3">
      <c r="A113" s="48" t="s">
        <v>1079</v>
      </c>
      <c r="B113" s="48" t="s">
        <v>968</v>
      </c>
      <c r="C113" s="48" t="s">
        <v>968</v>
      </c>
      <c r="D113" s="48" t="s">
        <v>1080</v>
      </c>
      <c r="E113" s="48" t="s">
        <v>236</v>
      </c>
      <c r="F113" s="48" t="s">
        <v>448</v>
      </c>
      <c r="G113" s="89">
        <v>45987</v>
      </c>
      <c r="H113" s="89">
        <v>45988</v>
      </c>
      <c r="I113" s="48" t="s">
        <v>224</v>
      </c>
      <c r="J113" s="48" t="s">
        <v>849</v>
      </c>
      <c r="K113" t="s">
        <v>224</v>
      </c>
      <c r="L113" t="s">
        <v>849</v>
      </c>
    </row>
    <row r="114" spans="1:12" x14ac:dyDescent="0.3">
      <c r="A114" s="48" t="s">
        <v>1081</v>
      </c>
      <c r="B114" s="48" t="s">
        <v>1075</v>
      </c>
      <c r="C114" s="48" t="s">
        <v>1075</v>
      </c>
      <c r="D114" s="48" t="s">
        <v>1082</v>
      </c>
      <c r="E114" s="48" t="s">
        <v>236</v>
      </c>
      <c r="F114" s="48" t="s">
        <v>448</v>
      </c>
      <c r="G114" s="89">
        <v>45989</v>
      </c>
      <c r="H114" s="89">
        <v>45989</v>
      </c>
      <c r="I114" s="48" t="s">
        <v>224</v>
      </c>
      <c r="J114" s="48" t="s">
        <v>849</v>
      </c>
      <c r="K114" t="s">
        <v>224</v>
      </c>
      <c r="L114" t="s">
        <v>849</v>
      </c>
    </row>
    <row r="115" spans="1:12" x14ac:dyDescent="0.3">
      <c r="A115" s="34" t="s">
        <v>1083</v>
      </c>
      <c r="B115" s="34" t="s">
        <v>361</v>
      </c>
      <c r="C115" s="34" t="s">
        <v>361</v>
      </c>
      <c r="D115" s="34" t="s">
        <v>1084</v>
      </c>
      <c r="E115" s="48" t="s">
        <v>236</v>
      </c>
      <c r="F115" s="48" t="s">
        <v>448</v>
      </c>
      <c r="G115" s="88">
        <v>45992</v>
      </c>
      <c r="H115" s="88">
        <v>45992</v>
      </c>
      <c r="K115" t="s">
        <v>224</v>
      </c>
      <c r="L115" t="s">
        <v>849</v>
      </c>
    </row>
    <row r="116" spans="1:12" x14ac:dyDescent="0.3">
      <c r="A116" s="34" t="s">
        <v>1085</v>
      </c>
      <c r="B116" s="34" t="s">
        <v>968</v>
      </c>
      <c r="C116" s="34" t="s">
        <v>968</v>
      </c>
      <c r="D116" s="34" t="s">
        <v>1086</v>
      </c>
      <c r="E116" s="48" t="s">
        <v>236</v>
      </c>
      <c r="F116" s="48" t="s">
        <v>448</v>
      </c>
      <c r="G116" s="88">
        <v>45993</v>
      </c>
      <c r="H116" s="88">
        <v>45993</v>
      </c>
      <c r="K116" t="s">
        <v>224</v>
      </c>
      <c r="L116" t="s">
        <v>849</v>
      </c>
    </row>
    <row r="117" spans="1:12" x14ac:dyDescent="0.3">
      <c r="A117" s="34" t="s">
        <v>1087</v>
      </c>
      <c r="B117" s="34" t="s">
        <v>1088</v>
      </c>
      <c r="C117" s="34" t="s">
        <v>1088</v>
      </c>
      <c r="D117" s="34" t="s">
        <v>1089</v>
      </c>
      <c r="E117" s="48" t="s">
        <v>236</v>
      </c>
      <c r="F117" s="48" t="s">
        <v>448</v>
      </c>
      <c r="G117" s="88">
        <v>45999</v>
      </c>
      <c r="H117" s="88">
        <v>45999</v>
      </c>
      <c r="K117" t="s">
        <v>224</v>
      </c>
      <c r="L117" t="s">
        <v>849</v>
      </c>
    </row>
    <row r="118" spans="1:12" x14ac:dyDescent="0.3">
      <c r="A118" s="34" t="s">
        <v>1090</v>
      </c>
      <c r="B118" s="34" t="s">
        <v>361</v>
      </c>
      <c r="C118" s="34" t="s">
        <v>361</v>
      </c>
      <c r="D118" s="34" t="s">
        <v>1091</v>
      </c>
      <c r="E118" s="48" t="s">
        <v>236</v>
      </c>
      <c r="F118" s="48" t="s">
        <v>448</v>
      </c>
      <c r="G118" s="24">
        <v>46008</v>
      </c>
      <c r="H118" s="24">
        <v>46008</v>
      </c>
      <c r="K118" t="s">
        <v>224</v>
      </c>
      <c r="L118" t="s">
        <v>849</v>
      </c>
    </row>
    <row r="119" spans="1:12" x14ac:dyDescent="0.3">
      <c r="A119" s="34" t="s">
        <v>1092</v>
      </c>
      <c r="B119" s="34" t="s">
        <v>361</v>
      </c>
      <c r="C119" s="34" t="s">
        <v>361</v>
      </c>
      <c r="D119" s="34" t="s">
        <v>1093</v>
      </c>
      <c r="E119" s="48" t="s">
        <v>236</v>
      </c>
      <c r="F119" s="48" t="s">
        <v>448</v>
      </c>
      <c r="G119" s="24">
        <v>46010</v>
      </c>
      <c r="H119" s="24">
        <v>46010</v>
      </c>
      <c r="K119" t="s">
        <v>224</v>
      </c>
      <c r="L119" t="s">
        <v>849</v>
      </c>
    </row>
  </sheetData>
  <autoFilter ref="A1:L83" xr:uid="{ED8B81FF-209C-4151-9DC8-C4E582831E59}">
    <sortState ref="A2:L83">
      <sortCondition ref="A1:A83"/>
    </sortState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36C9-CAC9-4BB4-BF0D-3577A94EC76C}">
  <sheetPr>
    <tabColor rgb="FFF29696"/>
  </sheetPr>
  <dimension ref="A1:J36"/>
  <sheetViews>
    <sheetView tabSelected="1" topLeftCell="A19" workbookViewId="0">
      <selection activeCell="I38" sqref="I38"/>
    </sheetView>
  </sheetViews>
  <sheetFormatPr defaultRowHeight="14.4" x14ac:dyDescent="0.3"/>
  <cols>
    <col min="2" max="2" width="59.88671875" customWidth="1"/>
    <col min="3" max="3" width="32" customWidth="1"/>
    <col min="4" max="5" width="25.33203125" customWidth="1"/>
    <col min="6" max="6" width="17.44140625" customWidth="1"/>
    <col min="7" max="7" width="40.5546875" customWidth="1"/>
    <col min="8" max="8" width="31.5546875" customWidth="1"/>
    <col min="9" max="9" width="12.109375" customWidth="1"/>
    <col min="10" max="10" width="17.88671875" customWidth="1"/>
  </cols>
  <sheetData>
    <row r="1" spans="1:10" x14ac:dyDescent="0.3">
      <c r="A1" s="8" t="s">
        <v>465</v>
      </c>
      <c r="B1" s="8" t="s">
        <v>0</v>
      </c>
      <c r="C1" s="8" t="s">
        <v>2</v>
      </c>
      <c r="D1" s="8" t="s">
        <v>1</v>
      </c>
      <c r="E1" s="66" t="s">
        <v>3</v>
      </c>
      <c r="F1" s="8" t="s">
        <v>4</v>
      </c>
      <c r="G1" s="8" t="s">
        <v>99</v>
      </c>
      <c r="H1" s="8" t="s">
        <v>5</v>
      </c>
      <c r="I1" s="73" t="s">
        <v>211</v>
      </c>
      <c r="J1" s="8" t="s">
        <v>466</v>
      </c>
    </row>
    <row r="2" spans="1:10" x14ac:dyDescent="0.3">
      <c r="A2" t="s">
        <v>467</v>
      </c>
      <c r="B2" t="s">
        <v>1094</v>
      </c>
      <c r="C2" t="s">
        <v>116</v>
      </c>
      <c r="D2" t="s">
        <v>1095</v>
      </c>
      <c r="E2">
        <v>3</v>
      </c>
      <c r="F2" s="24">
        <v>46044</v>
      </c>
      <c r="G2" t="s">
        <v>25</v>
      </c>
      <c r="H2" t="s">
        <v>25</v>
      </c>
      <c r="I2" s="75"/>
      <c r="J2" s="14" t="s">
        <v>448</v>
      </c>
    </row>
    <row r="3" spans="1:10" x14ac:dyDescent="0.3">
      <c r="A3" t="s">
        <v>469</v>
      </c>
      <c r="B3" t="s">
        <v>1096</v>
      </c>
      <c r="C3" t="s">
        <v>1097</v>
      </c>
      <c r="D3" t="s">
        <v>1098</v>
      </c>
      <c r="E3">
        <v>1</v>
      </c>
      <c r="F3" s="24">
        <v>46043</v>
      </c>
      <c r="G3" t="s">
        <v>122</v>
      </c>
      <c r="H3" t="s">
        <v>1013</v>
      </c>
      <c r="I3" s="75"/>
      <c r="J3" s="14" t="s">
        <v>448</v>
      </c>
    </row>
    <row r="4" spans="1:10" x14ac:dyDescent="0.3">
      <c r="A4" t="s">
        <v>472</v>
      </c>
      <c r="B4" t="s">
        <v>1099</v>
      </c>
      <c r="C4" t="s">
        <v>826</v>
      </c>
      <c r="D4" t="s">
        <v>185</v>
      </c>
      <c r="E4">
        <v>1</v>
      </c>
      <c r="F4" s="24">
        <v>46043</v>
      </c>
      <c r="G4" t="s">
        <v>23</v>
      </c>
      <c r="H4" t="s">
        <v>1013</v>
      </c>
      <c r="I4" s="75"/>
      <c r="J4" s="14" t="s">
        <v>448</v>
      </c>
    </row>
    <row r="5" spans="1:10" x14ac:dyDescent="0.3">
      <c r="A5" t="s">
        <v>472</v>
      </c>
      <c r="B5" t="s">
        <v>1100</v>
      </c>
      <c r="C5" t="s">
        <v>1101</v>
      </c>
      <c r="D5" t="s">
        <v>1098</v>
      </c>
      <c r="E5">
        <v>1</v>
      </c>
      <c r="F5" s="24">
        <v>46027</v>
      </c>
      <c r="G5" t="s">
        <v>14</v>
      </c>
      <c r="H5" t="s">
        <v>14</v>
      </c>
      <c r="I5" s="75"/>
      <c r="J5" s="14" t="s">
        <v>448</v>
      </c>
    </row>
    <row r="6" spans="1:10" x14ac:dyDescent="0.3">
      <c r="A6" t="s">
        <v>474</v>
      </c>
      <c r="B6" s="34" t="s">
        <v>1128</v>
      </c>
      <c r="C6" s="34" t="s">
        <v>112</v>
      </c>
      <c r="D6" s="34" t="s">
        <v>768</v>
      </c>
      <c r="E6" s="34">
        <v>1</v>
      </c>
      <c r="F6" s="88">
        <v>46049</v>
      </c>
      <c r="G6" s="34" t="s">
        <v>1129</v>
      </c>
      <c r="H6" s="34" t="s">
        <v>1129</v>
      </c>
      <c r="I6" s="34"/>
      <c r="J6" s="14" t="s">
        <v>448</v>
      </c>
    </row>
    <row r="7" spans="1:10" x14ac:dyDescent="0.3">
      <c r="A7" s="34" t="s">
        <v>1135</v>
      </c>
      <c r="B7" s="34" t="s">
        <v>1136</v>
      </c>
      <c r="C7" s="34" t="s">
        <v>1137</v>
      </c>
      <c r="D7" s="34" t="s">
        <v>768</v>
      </c>
      <c r="E7" s="34">
        <v>1</v>
      </c>
      <c r="F7" s="88">
        <v>46051</v>
      </c>
      <c r="G7" s="34" t="s">
        <v>1002</v>
      </c>
      <c r="H7" s="34" t="s">
        <v>1002</v>
      </c>
      <c r="I7" s="34"/>
      <c r="J7" s="14" t="s">
        <v>1138</v>
      </c>
    </row>
    <row r="8" spans="1:10" x14ac:dyDescent="0.3">
      <c r="A8" s="34" t="s">
        <v>480</v>
      </c>
      <c r="B8" s="34" t="s">
        <v>1082</v>
      </c>
      <c r="C8" s="34" t="s">
        <v>1082</v>
      </c>
      <c r="D8" s="34" t="s">
        <v>1142</v>
      </c>
      <c r="E8" s="34">
        <v>30</v>
      </c>
      <c r="F8" s="88">
        <v>46056</v>
      </c>
      <c r="G8" s="34" t="s">
        <v>190</v>
      </c>
      <c r="H8" t="s">
        <v>190</v>
      </c>
      <c r="J8" s="14" t="s">
        <v>448</v>
      </c>
    </row>
    <row r="9" spans="1:10" x14ac:dyDescent="0.3">
      <c r="A9" s="34" t="s">
        <v>483</v>
      </c>
      <c r="B9" s="34" t="s">
        <v>1136</v>
      </c>
      <c r="C9" s="34" t="s">
        <v>1137</v>
      </c>
      <c r="D9" s="34" t="s">
        <v>768</v>
      </c>
      <c r="E9" s="34">
        <v>1</v>
      </c>
      <c r="F9" s="88">
        <v>46058</v>
      </c>
      <c r="G9" s="34" t="s">
        <v>1002</v>
      </c>
      <c r="H9" t="s">
        <v>1002</v>
      </c>
      <c r="J9" s="14" t="s">
        <v>1138</v>
      </c>
    </row>
    <row r="10" spans="1:10" x14ac:dyDescent="0.3">
      <c r="A10" s="34" t="s">
        <v>487</v>
      </c>
      <c r="B10" s="34" t="s">
        <v>1143</v>
      </c>
      <c r="C10" s="34" t="s">
        <v>1144</v>
      </c>
      <c r="D10" s="34" t="s">
        <v>1145</v>
      </c>
      <c r="E10" s="34">
        <v>1</v>
      </c>
      <c r="F10" s="88">
        <v>46058</v>
      </c>
      <c r="G10" s="34" t="s">
        <v>23</v>
      </c>
      <c r="H10" t="s">
        <v>1172</v>
      </c>
      <c r="J10" s="14" t="s">
        <v>448</v>
      </c>
    </row>
    <row r="11" spans="1:10" x14ac:dyDescent="0.3">
      <c r="A11" s="34" t="s">
        <v>490</v>
      </c>
      <c r="B11" s="95" t="s">
        <v>1146</v>
      </c>
      <c r="C11" s="34" t="s">
        <v>1147</v>
      </c>
      <c r="D11" s="34" t="s">
        <v>1145</v>
      </c>
      <c r="E11" s="34">
        <v>1</v>
      </c>
      <c r="F11" s="88">
        <v>46058</v>
      </c>
      <c r="G11" s="34" t="s">
        <v>23</v>
      </c>
      <c r="H11" t="s">
        <v>1172</v>
      </c>
      <c r="J11" s="14" t="s">
        <v>448</v>
      </c>
    </row>
    <row r="12" spans="1:10" x14ac:dyDescent="0.3">
      <c r="A12" s="34" t="s">
        <v>492</v>
      </c>
      <c r="B12" s="96" t="s">
        <v>1148</v>
      </c>
      <c r="C12" s="34" t="s">
        <v>1149</v>
      </c>
      <c r="D12" s="34" t="s">
        <v>1145</v>
      </c>
      <c r="E12" s="34">
        <v>2</v>
      </c>
      <c r="F12" s="88">
        <v>46058</v>
      </c>
      <c r="G12" s="34" t="s">
        <v>23</v>
      </c>
      <c r="H12" t="s">
        <v>1172</v>
      </c>
      <c r="J12" s="14" t="s">
        <v>448</v>
      </c>
    </row>
    <row r="13" spans="1:10" x14ac:dyDescent="0.3">
      <c r="A13" s="34" t="s">
        <v>494</v>
      </c>
      <c r="B13" s="34" t="s">
        <v>1159</v>
      </c>
      <c r="C13" s="34" t="s">
        <v>116</v>
      </c>
      <c r="D13" s="34" t="s">
        <v>1095</v>
      </c>
      <c r="E13" s="34">
        <v>1</v>
      </c>
      <c r="F13" s="88">
        <v>46066</v>
      </c>
      <c r="G13" s="34" t="s">
        <v>25</v>
      </c>
      <c r="H13" t="s">
        <v>25</v>
      </c>
      <c r="J13" s="14" t="s">
        <v>448</v>
      </c>
    </row>
    <row r="14" spans="1:10" x14ac:dyDescent="0.3">
      <c r="A14" s="34" t="s">
        <v>496</v>
      </c>
      <c r="B14" s="34" t="s">
        <v>1173</v>
      </c>
      <c r="C14" s="34" t="s">
        <v>51</v>
      </c>
      <c r="D14" s="34" t="s">
        <v>1174</v>
      </c>
      <c r="E14" s="34">
        <v>3</v>
      </c>
      <c r="F14" s="24">
        <v>46069</v>
      </c>
      <c r="G14" s="34" t="s">
        <v>1175</v>
      </c>
      <c r="H14" t="s">
        <v>303</v>
      </c>
      <c r="J14" s="14" t="s">
        <v>1138</v>
      </c>
    </row>
    <row r="15" spans="1:10" x14ac:dyDescent="0.3">
      <c r="A15" s="34" t="s">
        <v>1189</v>
      </c>
      <c r="B15" s="34" t="s">
        <v>1188</v>
      </c>
      <c r="C15" s="34" t="s">
        <v>51</v>
      </c>
      <c r="D15" s="34" t="s">
        <v>1174</v>
      </c>
      <c r="E15" s="34">
        <v>3</v>
      </c>
      <c r="F15" s="88">
        <v>46064</v>
      </c>
      <c r="G15" s="34" t="s">
        <v>303</v>
      </c>
      <c r="H15" s="34" t="s">
        <v>303</v>
      </c>
      <c r="I15" s="34"/>
      <c r="J15" s="14" t="s">
        <v>1138</v>
      </c>
    </row>
    <row r="16" spans="1:10" x14ac:dyDescent="0.3">
      <c r="A16" s="34" t="s">
        <v>1189</v>
      </c>
      <c r="B16" s="34" t="s">
        <v>1205</v>
      </c>
      <c r="C16" s="34" t="s">
        <v>116</v>
      </c>
      <c r="D16" s="34" t="s">
        <v>1095</v>
      </c>
      <c r="E16" s="34">
        <v>4</v>
      </c>
      <c r="F16" s="88">
        <v>46097</v>
      </c>
      <c r="G16" s="34" t="s">
        <v>25</v>
      </c>
      <c r="H16" s="34" t="s">
        <v>25</v>
      </c>
      <c r="I16" s="34"/>
      <c r="J16" s="14" t="s">
        <v>448</v>
      </c>
    </row>
    <row r="17" spans="1:10" x14ac:dyDescent="0.3">
      <c r="A17" s="34" t="s">
        <v>1209</v>
      </c>
      <c r="B17" s="34" t="s">
        <v>1206</v>
      </c>
      <c r="C17" s="34" t="s">
        <v>51</v>
      </c>
      <c r="D17" s="34" t="s">
        <v>1174</v>
      </c>
      <c r="E17" s="34">
        <v>1</v>
      </c>
      <c r="F17" s="88">
        <v>46097</v>
      </c>
      <c r="G17" s="34" t="s">
        <v>25</v>
      </c>
      <c r="H17" s="34" t="s">
        <v>25</v>
      </c>
      <c r="I17" s="34"/>
      <c r="J17" s="14" t="s">
        <v>448</v>
      </c>
    </row>
    <row r="18" spans="1:10" x14ac:dyDescent="0.3">
      <c r="A18" s="34" t="s">
        <v>1210</v>
      </c>
      <c r="B18" s="34" t="s">
        <v>1207</v>
      </c>
      <c r="C18" s="34" t="s">
        <v>1208</v>
      </c>
      <c r="D18" s="34" t="s">
        <v>1098</v>
      </c>
      <c r="E18" s="34">
        <v>14</v>
      </c>
      <c r="F18" s="88">
        <v>46097</v>
      </c>
      <c r="G18" s="34" t="s">
        <v>23</v>
      </c>
      <c r="H18" s="34" t="s">
        <v>1172</v>
      </c>
      <c r="I18" s="34"/>
      <c r="J18" s="14" t="s">
        <v>448</v>
      </c>
    </row>
    <row r="19" spans="1:10" x14ac:dyDescent="0.3">
      <c r="A19" s="34" t="s">
        <v>1212</v>
      </c>
      <c r="B19" s="34" t="s">
        <v>1213</v>
      </c>
      <c r="C19" s="34" t="s">
        <v>1214</v>
      </c>
      <c r="D19" s="34" t="s">
        <v>1098</v>
      </c>
      <c r="E19" s="34">
        <v>1</v>
      </c>
      <c r="F19" s="88">
        <v>46104</v>
      </c>
      <c r="G19" s="34" t="s">
        <v>14</v>
      </c>
      <c r="H19" s="34" t="s">
        <v>14</v>
      </c>
      <c r="I19" s="34"/>
      <c r="J19" s="14" t="s">
        <v>448</v>
      </c>
    </row>
    <row r="20" spans="1:10" x14ac:dyDescent="0.3">
      <c r="A20" s="34" t="s">
        <v>1222</v>
      </c>
      <c r="B20" s="34" t="s">
        <v>1223</v>
      </c>
      <c r="C20" s="34" t="s">
        <v>1224</v>
      </c>
      <c r="D20" s="34" t="s">
        <v>185</v>
      </c>
      <c r="E20" s="34">
        <v>1</v>
      </c>
      <c r="F20" s="88">
        <v>46112</v>
      </c>
      <c r="G20" s="34" t="s">
        <v>1002</v>
      </c>
      <c r="H20" s="34" t="s">
        <v>1002</v>
      </c>
      <c r="I20" s="34"/>
      <c r="J20" s="14" t="s">
        <v>1138</v>
      </c>
    </row>
    <row r="21" spans="1:10" x14ac:dyDescent="0.3">
      <c r="A21" s="34" t="s">
        <v>1225</v>
      </c>
      <c r="B21" s="34" t="s">
        <v>1226</v>
      </c>
      <c r="C21" s="34" t="s">
        <v>116</v>
      </c>
      <c r="D21" s="34" t="s">
        <v>1095</v>
      </c>
      <c r="E21" s="34">
        <v>1</v>
      </c>
      <c r="F21" s="88">
        <v>46112</v>
      </c>
      <c r="G21" s="34" t="s">
        <v>25</v>
      </c>
      <c r="H21" s="34" t="s">
        <v>25</v>
      </c>
      <c r="I21" s="34"/>
      <c r="J21" s="14" t="s">
        <v>448</v>
      </c>
    </row>
    <row r="22" spans="1:10" x14ac:dyDescent="0.3">
      <c r="A22" s="34" t="s">
        <v>1227</v>
      </c>
      <c r="B22" s="34" t="s">
        <v>1228</v>
      </c>
      <c r="C22" s="34" t="s">
        <v>1229</v>
      </c>
      <c r="D22" s="34" t="s">
        <v>1142</v>
      </c>
      <c r="E22" s="34">
        <v>1</v>
      </c>
      <c r="F22" s="88">
        <v>46119</v>
      </c>
      <c r="G22" s="34" t="s">
        <v>1230</v>
      </c>
      <c r="H22" s="34" t="s">
        <v>1230</v>
      </c>
      <c r="I22" s="34"/>
      <c r="J22" s="14" t="s">
        <v>448</v>
      </c>
    </row>
    <row r="23" spans="1:10" x14ac:dyDescent="0.3">
      <c r="A23" s="34" t="s">
        <v>1240</v>
      </c>
      <c r="B23" s="34" t="s">
        <v>1241</v>
      </c>
      <c r="C23" s="34" t="s">
        <v>1242</v>
      </c>
      <c r="D23" s="34" t="s">
        <v>185</v>
      </c>
      <c r="E23" s="34">
        <v>1</v>
      </c>
      <c r="F23" s="88">
        <v>46135</v>
      </c>
      <c r="G23" s="34" t="s">
        <v>872</v>
      </c>
      <c r="H23" s="34" t="s">
        <v>872</v>
      </c>
      <c r="I23" s="34"/>
      <c r="J23" s="14" t="s">
        <v>1138</v>
      </c>
    </row>
    <row r="24" spans="1:10" x14ac:dyDescent="0.3">
      <c r="A24" s="34" t="s">
        <v>521</v>
      </c>
      <c r="B24" s="34" t="s">
        <v>1226</v>
      </c>
      <c r="C24" s="34" t="s">
        <v>116</v>
      </c>
      <c r="D24" s="34" t="s">
        <v>1095</v>
      </c>
      <c r="E24" s="34">
        <v>1</v>
      </c>
      <c r="F24" s="88">
        <v>46141</v>
      </c>
      <c r="G24" s="34" t="s">
        <v>25</v>
      </c>
      <c r="H24" s="34" t="s">
        <v>25</v>
      </c>
      <c r="I24" s="34"/>
      <c r="J24" s="14" t="s">
        <v>1138</v>
      </c>
    </row>
    <row r="25" spans="1:10" x14ac:dyDescent="0.3">
      <c r="A25" s="34" t="s">
        <v>525</v>
      </c>
      <c r="B25" s="34" t="s">
        <v>1256</v>
      </c>
      <c r="C25" s="34" t="s">
        <v>1257</v>
      </c>
      <c r="D25" s="34" t="s">
        <v>34</v>
      </c>
      <c r="E25" s="34">
        <v>7</v>
      </c>
      <c r="F25" s="88">
        <v>46142</v>
      </c>
      <c r="G25" s="34" t="s">
        <v>1230</v>
      </c>
      <c r="H25" s="34" t="s">
        <v>1230</v>
      </c>
      <c r="I25" s="34"/>
      <c r="J25" s="14" t="s">
        <v>448</v>
      </c>
    </row>
    <row r="26" spans="1:10" x14ac:dyDescent="0.3">
      <c r="A26" s="34" t="s">
        <v>1258</v>
      </c>
      <c r="B26" s="34" t="s">
        <v>1259</v>
      </c>
      <c r="C26" s="34" t="s">
        <v>1260</v>
      </c>
      <c r="D26" s="34" t="s">
        <v>1174</v>
      </c>
      <c r="E26" s="34">
        <v>1</v>
      </c>
      <c r="F26" s="88">
        <v>46140</v>
      </c>
      <c r="G26" s="34" t="s">
        <v>25</v>
      </c>
      <c r="H26" s="34" t="s">
        <v>25</v>
      </c>
      <c r="I26" s="34"/>
      <c r="J26" s="14" t="s">
        <v>448</v>
      </c>
    </row>
    <row r="27" spans="1:10" x14ac:dyDescent="0.3">
      <c r="A27" s="34" t="s">
        <v>1275</v>
      </c>
      <c r="B27" s="34" t="s">
        <v>1276</v>
      </c>
      <c r="C27" s="34" t="s">
        <v>116</v>
      </c>
      <c r="D27" s="34" t="s">
        <v>1095</v>
      </c>
      <c r="E27" s="34">
        <v>1</v>
      </c>
      <c r="F27" s="88">
        <v>46164</v>
      </c>
      <c r="G27" s="34" t="s">
        <v>25</v>
      </c>
      <c r="H27" s="34" t="s">
        <v>25</v>
      </c>
      <c r="J27" s="14" t="s">
        <v>448</v>
      </c>
    </row>
    <row r="28" spans="1:10" x14ac:dyDescent="0.3">
      <c r="A28" s="34" t="s">
        <v>1329</v>
      </c>
      <c r="B28" s="34" t="s">
        <v>1330</v>
      </c>
      <c r="C28" s="34" t="s">
        <v>1331</v>
      </c>
      <c r="D28" s="34" t="s">
        <v>1098</v>
      </c>
      <c r="E28" s="34">
        <v>1</v>
      </c>
      <c r="F28" s="88">
        <v>46234</v>
      </c>
      <c r="G28" s="34" t="s">
        <v>23</v>
      </c>
      <c r="H28" s="34" t="s">
        <v>1172</v>
      </c>
      <c r="I28" s="34"/>
      <c r="J28" s="14" t="s">
        <v>448</v>
      </c>
    </row>
    <row r="29" spans="1:10" x14ac:dyDescent="0.3">
      <c r="A29" s="34" t="s">
        <v>1332</v>
      </c>
      <c r="B29" s="34" t="s">
        <v>1333</v>
      </c>
      <c r="C29" s="34" t="s">
        <v>1137</v>
      </c>
      <c r="D29" s="34" t="s">
        <v>768</v>
      </c>
      <c r="E29" s="34">
        <v>1</v>
      </c>
      <c r="F29" s="88">
        <v>46237</v>
      </c>
      <c r="G29" s="34" t="s">
        <v>1324</v>
      </c>
      <c r="H29" s="34" t="s">
        <v>1324</v>
      </c>
      <c r="I29" s="34"/>
      <c r="J29" s="14" t="s">
        <v>448</v>
      </c>
    </row>
    <row r="30" spans="1:10" x14ac:dyDescent="0.3">
      <c r="A30" s="34" t="s">
        <v>1340</v>
      </c>
      <c r="B30" s="34" t="s">
        <v>1334</v>
      </c>
      <c r="C30" s="34" t="s">
        <v>1335</v>
      </c>
      <c r="D30" s="34" t="s">
        <v>1174</v>
      </c>
      <c r="E30" s="34">
        <v>20</v>
      </c>
      <c r="F30" s="88">
        <v>46237</v>
      </c>
      <c r="G30" s="34" t="s">
        <v>1288</v>
      </c>
      <c r="H30" s="34" t="s">
        <v>1288</v>
      </c>
      <c r="I30" s="34"/>
      <c r="J30" s="14" t="s">
        <v>448</v>
      </c>
    </row>
    <row r="31" spans="1:10" x14ac:dyDescent="0.3">
      <c r="A31" s="34" t="s">
        <v>1341</v>
      </c>
      <c r="B31" s="34" t="s">
        <v>470</v>
      </c>
      <c r="C31" s="34" t="s">
        <v>471</v>
      </c>
      <c r="D31" s="34" t="s">
        <v>1174</v>
      </c>
      <c r="E31" s="34">
        <v>20</v>
      </c>
      <c r="F31" s="88">
        <v>46237</v>
      </c>
      <c r="G31" s="34" t="s">
        <v>1288</v>
      </c>
      <c r="H31" s="34" t="s">
        <v>1288</v>
      </c>
      <c r="I31" s="34"/>
      <c r="J31" s="14" t="s">
        <v>448</v>
      </c>
    </row>
    <row r="32" spans="1:10" x14ac:dyDescent="0.3">
      <c r="A32" s="34" t="s">
        <v>1342</v>
      </c>
      <c r="B32" s="34" t="s">
        <v>1336</v>
      </c>
      <c r="C32" s="34" t="s">
        <v>1337</v>
      </c>
      <c r="D32" s="34" t="s">
        <v>1174</v>
      </c>
      <c r="E32" s="34">
        <v>40</v>
      </c>
      <c r="F32" s="88">
        <v>46237</v>
      </c>
      <c r="G32" s="34" t="s">
        <v>1288</v>
      </c>
      <c r="H32" s="34" t="s">
        <v>1288</v>
      </c>
      <c r="I32" s="34"/>
      <c r="J32" s="14" t="s">
        <v>448</v>
      </c>
    </row>
    <row r="33" spans="1:10" x14ac:dyDescent="0.3">
      <c r="A33" s="34" t="s">
        <v>1343</v>
      </c>
      <c r="B33" s="34" t="s">
        <v>1338</v>
      </c>
      <c r="C33" s="34" t="s">
        <v>1339</v>
      </c>
      <c r="D33" s="34" t="s">
        <v>1174</v>
      </c>
      <c r="E33" s="34">
        <v>1</v>
      </c>
      <c r="F33" s="88">
        <v>46237</v>
      </c>
      <c r="G33" s="34" t="s">
        <v>1288</v>
      </c>
      <c r="H33" s="34" t="s">
        <v>1288</v>
      </c>
      <c r="I33" s="34"/>
      <c r="J33" s="14" t="s">
        <v>448</v>
      </c>
    </row>
    <row r="34" spans="1:10" x14ac:dyDescent="0.3">
      <c r="A34" s="34" t="s">
        <v>1340</v>
      </c>
      <c r="B34" s="34" t="s">
        <v>1354</v>
      </c>
      <c r="C34" s="34" t="s">
        <v>1137</v>
      </c>
      <c r="D34" s="34" t="s">
        <v>768</v>
      </c>
      <c r="E34" s="34">
        <v>1</v>
      </c>
      <c r="F34" s="88">
        <v>46266</v>
      </c>
      <c r="G34" s="34" t="s">
        <v>23</v>
      </c>
      <c r="H34" s="34" t="s">
        <v>1172</v>
      </c>
      <c r="I34" s="34"/>
      <c r="J34" s="14" t="s">
        <v>448</v>
      </c>
    </row>
    <row r="35" spans="1:10" x14ac:dyDescent="0.3">
      <c r="A35" s="34" t="s">
        <v>1341</v>
      </c>
      <c r="B35" s="34" t="s">
        <v>1355</v>
      </c>
      <c r="C35" s="34" t="s">
        <v>1242</v>
      </c>
      <c r="D35" s="34" t="s">
        <v>185</v>
      </c>
      <c r="E35" s="34">
        <v>1</v>
      </c>
      <c r="F35" s="88">
        <v>46254</v>
      </c>
      <c r="G35" s="34" t="s">
        <v>1046</v>
      </c>
      <c r="H35" s="34" t="s">
        <v>1046</v>
      </c>
      <c r="I35" s="34"/>
      <c r="J35" s="14" t="s">
        <v>448</v>
      </c>
    </row>
    <row r="36" spans="1:10" x14ac:dyDescent="0.3">
      <c r="A36" s="34" t="s">
        <v>1341</v>
      </c>
      <c r="B36" s="34" t="s">
        <v>1356</v>
      </c>
      <c r="C36" s="34" t="s">
        <v>826</v>
      </c>
      <c r="D36" s="34" t="s">
        <v>185</v>
      </c>
      <c r="E36" s="34">
        <v>1</v>
      </c>
      <c r="F36" s="88">
        <v>46254</v>
      </c>
      <c r="G36" s="34" t="s">
        <v>1046</v>
      </c>
      <c r="H36" s="34" t="s">
        <v>1046</v>
      </c>
      <c r="I36" s="34"/>
      <c r="J36" s="14" t="s">
        <v>448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2BBA-4CAC-410D-B848-52EEF8F5BD69}">
  <sheetPr>
    <tabColor rgb="FFFFFF00"/>
  </sheetPr>
  <dimension ref="A1:J11"/>
  <sheetViews>
    <sheetView workbookViewId="0">
      <selection activeCell="I18" sqref="I18"/>
    </sheetView>
  </sheetViews>
  <sheetFormatPr defaultRowHeight="14.4" x14ac:dyDescent="0.3"/>
  <cols>
    <col min="2" max="2" width="35.5546875" customWidth="1"/>
    <col min="3" max="3" width="19.6640625" customWidth="1"/>
    <col min="4" max="4" width="16.6640625" bestFit="1" customWidth="1"/>
    <col min="5" max="5" width="10.109375" bestFit="1" customWidth="1"/>
    <col min="6" max="6" width="14.88671875" customWidth="1"/>
    <col min="7" max="7" width="34.6640625" customWidth="1"/>
    <col min="8" max="8" width="26.6640625" bestFit="1" customWidth="1"/>
    <col min="9" max="9" width="15.21875" customWidth="1"/>
  </cols>
  <sheetData>
    <row r="1" spans="1:10" x14ac:dyDescent="0.3">
      <c r="A1" s="8" t="s">
        <v>465</v>
      </c>
      <c r="B1" s="8" t="s">
        <v>0</v>
      </c>
      <c r="C1" s="8" t="s">
        <v>2</v>
      </c>
      <c r="D1" s="8" t="s">
        <v>1</v>
      </c>
      <c r="E1" s="8" t="s">
        <v>3</v>
      </c>
      <c r="F1" s="8" t="s">
        <v>4</v>
      </c>
      <c r="G1" s="8" t="s">
        <v>831</v>
      </c>
      <c r="H1" s="8" t="s">
        <v>5</v>
      </c>
      <c r="I1" s="8" t="s">
        <v>466</v>
      </c>
    </row>
    <row r="2" spans="1:10" x14ac:dyDescent="0.3">
      <c r="A2" t="s">
        <v>832</v>
      </c>
      <c r="B2" s="1" t="s">
        <v>194</v>
      </c>
      <c r="C2" s="30" t="s">
        <v>833</v>
      </c>
      <c r="D2" s="2" t="s">
        <v>196</v>
      </c>
      <c r="E2" s="2">
        <v>12</v>
      </c>
      <c r="F2" s="36">
        <v>46041</v>
      </c>
      <c r="G2" s="71" t="s">
        <v>864</v>
      </c>
      <c r="H2" s="31" t="s">
        <v>864</v>
      </c>
      <c r="I2" t="s">
        <v>448</v>
      </c>
    </row>
    <row r="3" spans="1:10" x14ac:dyDescent="0.3">
      <c r="A3" t="s">
        <v>834</v>
      </c>
      <c r="B3" s="1" t="s">
        <v>1102</v>
      </c>
      <c r="C3" s="30" t="s">
        <v>1103</v>
      </c>
      <c r="D3" s="2" t="s">
        <v>196</v>
      </c>
      <c r="E3" s="2">
        <v>8</v>
      </c>
      <c r="F3" s="36">
        <v>46041</v>
      </c>
      <c r="G3" s="71" t="s">
        <v>14</v>
      </c>
      <c r="H3" s="31" t="s">
        <v>14</v>
      </c>
      <c r="I3" t="s">
        <v>448</v>
      </c>
    </row>
    <row r="4" spans="1:10" x14ac:dyDescent="0.3">
      <c r="A4" t="s">
        <v>835</v>
      </c>
      <c r="B4" s="1" t="s">
        <v>1104</v>
      </c>
      <c r="C4" s="30" t="s">
        <v>833</v>
      </c>
      <c r="D4" s="2" t="s">
        <v>196</v>
      </c>
      <c r="E4" s="2">
        <v>1</v>
      </c>
      <c r="F4" s="36">
        <v>46034</v>
      </c>
      <c r="G4" s="71" t="s">
        <v>14</v>
      </c>
      <c r="H4" s="31" t="s">
        <v>14</v>
      </c>
      <c r="I4" t="s">
        <v>448</v>
      </c>
    </row>
    <row r="5" spans="1:10" x14ac:dyDescent="0.3">
      <c r="A5" s="34" t="s">
        <v>836</v>
      </c>
      <c r="B5" s="34" t="s">
        <v>1139</v>
      </c>
      <c r="C5" s="34" t="s">
        <v>199</v>
      </c>
      <c r="D5" s="34" t="s">
        <v>199</v>
      </c>
      <c r="E5" s="34">
        <v>8</v>
      </c>
      <c r="F5" s="88">
        <v>46055</v>
      </c>
      <c r="G5" s="34" t="s">
        <v>1140</v>
      </c>
      <c r="H5" s="34" t="s">
        <v>1140</v>
      </c>
      <c r="I5" s="34" t="s">
        <v>448</v>
      </c>
      <c r="J5" s="34"/>
    </row>
    <row r="6" spans="1:10" x14ac:dyDescent="0.3">
      <c r="A6" s="34" t="s">
        <v>838</v>
      </c>
      <c r="B6" s="34" t="s">
        <v>1141</v>
      </c>
      <c r="C6" s="34" t="s">
        <v>833</v>
      </c>
      <c r="D6" s="34" t="s">
        <v>196</v>
      </c>
      <c r="E6" s="34">
        <v>8</v>
      </c>
      <c r="F6" s="88">
        <v>46055</v>
      </c>
      <c r="G6" s="34" t="s">
        <v>1140</v>
      </c>
      <c r="H6" s="34" t="s">
        <v>1140</v>
      </c>
      <c r="I6" s="34" t="s">
        <v>448</v>
      </c>
      <c r="J6" s="34"/>
    </row>
    <row r="7" spans="1:10" x14ac:dyDescent="0.3">
      <c r="A7" t="s">
        <v>840</v>
      </c>
      <c r="B7" s="34" t="s">
        <v>194</v>
      </c>
      <c r="C7" s="34" t="s">
        <v>833</v>
      </c>
      <c r="D7" s="34" t="s">
        <v>196</v>
      </c>
      <c r="E7" s="34">
        <v>1</v>
      </c>
      <c r="F7" s="88">
        <v>46055</v>
      </c>
      <c r="G7" s="34" t="s">
        <v>1013</v>
      </c>
      <c r="H7" s="34" t="s">
        <v>1013</v>
      </c>
      <c r="I7" s="34" t="s">
        <v>1134</v>
      </c>
      <c r="J7" s="34"/>
    </row>
    <row r="8" spans="1:10" x14ac:dyDescent="0.3">
      <c r="A8" s="34" t="s">
        <v>1204</v>
      </c>
      <c r="B8" s="34" t="s">
        <v>1102</v>
      </c>
      <c r="C8" s="34" t="s">
        <v>1103</v>
      </c>
      <c r="D8" s="34" t="s">
        <v>196</v>
      </c>
      <c r="E8" s="34">
        <v>3</v>
      </c>
      <c r="F8" s="88">
        <v>46090</v>
      </c>
      <c r="G8" s="34" t="s">
        <v>827</v>
      </c>
      <c r="H8" s="34" t="s">
        <v>827</v>
      </c>
      <c r="I8" s="34" t="s">
        <v>448</v>
      </c>
      <c r="J8" s="34"/>
    </row>
    <row r="9" spans="1:10" x14ac:dyDescent="0.3">
      <c r="A9" s="34" t="s">
        <v>843</v>
      </c>
      <c r="B9" s="34" t="s">
        <v>194</v>
      </c>
      <c r="C9" s="34" t="s">
        <v>833</v>
      </c>
      <c r="D9" s="34" t="s">
        <v>196</v>
      </c>
      <c r="E9" s="34">
        <v>2</v>
      </c>
      <c r="F9" s="88">
        <v>46090</v>
      </c>
      <c r="G9" s="34" t="s">
        <v>14</v>
      </c>
      <c r="H9" s="34" t="s">
        <v>14</v>
      </c>
      <c r="I9" s="34" t="s">
        <v>1134</v>
      </c>
      <c r="J9" s="34"/>
    </row>
    <row r="10" spans="1:10" x14ac:dyDescent="0.3">
      <c r="A10" s="34" t="s">
        <v>845</v>
      </c>
      <c r="B10" s="34" t="s">
        <v>1243</v>
      </c>
      <c r="C10" s="34" t="s">
        <v>833</v>
      </c>
      <c r="D10" s="34" t="s">
        <v>196</v>
      </c>
      <c r="E10" s="34">
        <v>1</v>
      </c>
      <c r="F10" s="88">
        <v>46136</v>
      </c>
      <c r="G10" s="34" t="s">
        <v>872</v>
      </c>
      <c r="H10" s="34" t="s">
        <v>872</v>
      </c>
      <c r="I10" s="34" t="s">
        <v>1134</v>
      </c>
      <c r="J10" s="34"/>
    </row>
    <row r="11" spans="1:10" x14ac:dyDescent="0.3">
      <c r="A11" s="34" t="s">
        <v>1328</v>
      </c>
      <c r="B11" s="34" t="s">
        <v>1327</v>
      </c>
      <c r="C11" s="34" t="s">
        <v>833</v>
      </c>
      <c r="D11" s="34" t="s">
        <v>196</v>
      </c>
      <c r="E11" s="34">
        <v>1</v>
      </c>
      <c r="F11" s="88">
        <v>46120</v>
      </c>
      <c r="G11" s="34" t="s">
        <v>14</v>
      </c>
      <c r="H11" s="34" t="s">
        <v>14</v>
      </c>
      <c r="I11" s="34" t="s">
        <v>448</v>
      </c>
      <c r="J11" s="3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F2AA-D6A9-47F8-A0D1-CA5F074289CF}">
  <sheetPr>
    <tabColor rgb="FF9EC210"/>
  </sheetPr>
  <dimension ref="A1:H87"/>
  <sheetViews>
    <sheetView topLeftCell="A72" workbookViewId="0">
      <selection activeCell="F88" sqref="A86:F88"/>
    </sheetView>
  </sheetViews>
  <sheetFormatPr defaultRowHeight="14.4" x14ac:dyDescent="0.3"/>
  <cols>
    <col min="1" max="1" width="30.109375" customWidth="1"/>
    <col min="2" max="2" width="38" customWidth="1"/>
    <col min="3" max="3" width="14.6640625" customWidth="1"/>
    <col min="4" max="4" width="16.33203125" customWidth="1"/>
    <col min="5" max="5" width="18.5546875" customWidth="1"/>
    <col min="6" max="6" width="18.88671875" customWidth="1"/>
  </cols>
  <sheetData>
    <row r="1" spans="1:8" x14ac:dyDescent="0.3">
      <c r="A1" s="92" t="s">
        <v>1105</v>
      </c>
      <c r="B1" s="92" t="s">
        <v>1106</v>
      </c>
      <c r="C1" s="92" t="s">
        <v>1107</v>
      </c>
      <c r="D1" s="92" t="s">
        <v>1108</v>
      </c>
      <c r="E1" s="92" t="s">
        <v>1109</v>
      </c>
      <c r="F1" s="92" t="s">
        <v>1110</v>
      </c>
    </row>
    <row r="2" spans="1:8" x14ac:dyDescent="0.3">
      <c r="A2" s="92" t="s">
        <v>1111</v>
      </c>
      <c r="B2" s="92" t="s">
        <v>25</v>
      </c>
      <c r="C2" s="92" t="s">
        <v>1010</v>
      </c>
      <c r="D2" s="92" t="s">
        <v>1112</v>
      </c>
      <c r="E2" s="94">
        <v>46035</v>
      </c>
      <c r="F2" s="92" t="s">
        <v>224</v>
      </c>
    </row>
    <row r="3" spans="1:8" x14ac:dyDescent="0.3">
      <c r="A3" s="92" t="s">
        <v>1113</v>
      </c>
      <c r="B3" s="92" t="s">
        <v>361</v>
      </c>
      <c r="C3" s="92" t="s">
        <v>1010</v>
      </c>
      <c r="D3" s="92" t="s">
        <v>1114</v>
      </c>
      <c r="E3" s="94">
        <v>46036</v>
      </c>
      <c r="F3" s="92" t="s">
        <v>224</v>
      </c>
    </row>
    <row r="4" spans="1:8" x14ac:dyDescent="0.3">
      <c r="A4" s="92" t="s">
        <v>1115</v>
      </c>
      <c r="B4" s="92" t="s">
        <v>361</v>
      </c>
      <c r="C4" s="92" t="s">
        <v>849</v>
      </c>
      <c r="D4" s="92" t="s">
        <v>1116</v>
      </c>
      <c r="E4" s="93">
        <v>46045</v>
      </c>
      <c r="F4" s="92" t="s">
        <v>224</v>
      </c>
    </row>
    <row r="5" spans="1:8" x14ac:dyDescent="0.3">
      <c r="A5" s="92" t="s">
        <v>1117</v>
      </c>
      <c r="B5" s="92" t="s">
        <v>1118</v>
      </c>
      <c r="C5" s="92" t="s">
        <v>849</v>
      </c>
      <c r="D5" s="92" t="s">
        <v>1119</v>
      </c>
      <c r="E5" s="93">
        <v>46044</v>
      </c>
      <c r="F5" s="92" t="s">
        <v>224</v>
      </c>
    </row>
    <row r="6" spans="1:8" x14ac:dyDescent="0.3">
      <c r="A6" s="92" t="s">
        <v>1120</v>
      </c>
      <c r="B6" s="92" t="s">
        <v>135</v>
      </c>
      <c r="C6" s="92" t="s">
        <v>849</v>
      </c>
      <c r="D6" s="92" t="s">
        <v>1121</v>
      </c>
      <c r="E6" s="93">
        <v>46044.319444444445</v>
      </c>
      <c r="F6" s="92" t="s">
        <v>224</v>
      </c>
    </row>
    <row r="7" spans="1:8" x14ac:dyDescent="0.3">
      <c r="A7" s="92" t="s">
        <v>1122</v>
      </c>
      <c r="B7" s="92" t="s">
        <v>1118</v>
      </c>
      <c r="C7" s="92" t="s">
        <v>849</v>
      </c>
      <c r="D7" s="92" t="s">
        <v>1123</v>
      </c>
      <c r="E7" s="93">
        <v>46044.315972222219</v>
      </c>
      <c r="F7" s="92" t="s">
        <v>224</v>
      </c>
    </row>
    <row r="8" spans="1:8" x14ac:dyDescent="0.3">
      <c r="A8" s="92" t="s">
        <v>1124</v>
      </c>
      <c r="B8" s="92" t="s">
        <v>135</v>
      </c>
      <c r="C8" s="92" t="s">
        <v>849</v>
      </c>
      <c r="D8" s="92" t="s">
        <v>1125</v>
      </c>
      <c r="E8" s="93">
        <v>46043.3125</v>
      </c>
      <c r="F8" s="92" t="s">
        <v>224</v>
      </c>
    </row>
    <row r="9" spans="1:8" x14ac:dyDescent="0.3">
      <c r="A9" s="92" t="s">
        <v>1126</v>
      </c>
      <c r="B9" s="92" t="s">
        <v>135</v>
      </c>
      <c r="C9" s="92" t="s">
        <v>849</v>
      </c>
      <c r="D9" s="92" t="s">
        <v>1127</v>
      </c>
      <c r="E9" s="93">
        <v>46041.329861111109</v>
      </c>
      <c r="F9" s="92" t="s">
        <v>224</v>
      </c>
    </row>
    <row r="10" spans="1:8" x14ac:dyDescent="0.3">
      <c r="A10" s="34" t="s">
        <v>361</v>
      </c>
      <c r="B10" s="34" t="s">
        <v>1130</v>
      </c>
      <c r="C10" s="34" t="s">
        <v>849</v>
      </c>
      <c r="D10" s="34" t="s">
        <v>1131</v>
      </c>
      <c r="E10" s="88">
        <v>46057</v>
      </c>
      <c r="F10" s="34" t="s">
        <v>224</v>
      </c>
      <c r="G10" s="92"/>
      <c r="H10" s="92"/>
    </row>
    <row r="11" spans="1:8" x14ac:dyDescent="0.3">
      <c r="A11" s="34" t="s">
        <v>361</v>
      </c>
      <c r="B11" s="34" t="s">
        <v>1132</v>
      </c>
      <c r="C11" s="34" t="s">
        <v>849</v>
      </c>
      <c r="D11" s="34" t="s">
        <v>1133</v>
      </c>
      <c r="E11" s="88">
        <v>46059</v>
      </c>
      <c r="F11" s="34" t="s">
        <v>224</v>
      </c>
      <c r="G11" s="92"/>
      <c r="H11" s="92"/>
    </row>
    <row r="12" spans="1:8" x14ac:dyDescent="0.3">
      <c r="A12" s="34" t="s">
        <v>361</v>
      </c>
      <c r="B12" s="34" t="s">
        <v>1150</v>
      </c>
      <c r="C12" s="34" t="s">
        <v>849</v>
      </c>
      <c r="D12" s="34" t="s">
        <v>1151</v>
      </c>
      <c r="E12" s="88">
        <v>46062</v>
      </c>
      <c r="F12" s="34" t="s">
        <v>224</v>
      </c>
      <c r="G12" s="92"/>
      <c r="H12" s="92"/>
    </row>
    <row r="13" spans="1:8" x14ac:dyDescent="0.3">
      <c r="A13" s="34" t="s">
        <v>361</v>
      </c>
      <c r="B13" s="34" t="s">
        <v>1152</v>
      </c>
      <c r="C13" s="34" t="s">
        <v>849</v>
      </c>
      <c r="D13" s="34" t="s">
        <v>1153</v>
      </c>
      <c r="E13" s="88">
        <v>46065</v>
      </c>
      <c r="F13" s="34" t="s">
        <v>224</v>
      </c>
      <c r="G13" s="92"/>
      <c r="H13" s="92"/>
    </row>
    <row r="14" spans="1:8" x14ac:dyDescent="0.3">
      <c r="A14" s="34" t="s">
        <v>361</v>
      </c>
      <c r="B14" s="34" t="s">
        <v>1154</v>
      </c>
      <c r="C14" s="34" t="s">
        <v>1158</v>
      </c>
      <c r="D14" s="34" t="s">
        <v>1155</v>
      </c>
      <c r="E14" s="88">
        <v>46065</v>
      </c>
      <c r="F14" s="34" t="s">
        <v>224</v>
      </c>
    </row>
    <row r="15" spans="1:8" x14ac:dyDescent="0.3">
      <c r="A15" s="34" t="s">
        <v>827</v>
      </c>
      <c r="B15" s="34" t="s">
        <v>1156</v>
      </c>
      <c r="C15" s="34" t="s">
        <v>1010</v>
      </c>
      <c r="D15" s="34" t="s">
        <v>1157</v>
      </c>
      <c r="E15" s="88">
        <v>46065</v>
      </c>
      <c r="F15" s="34" t="s">
        <v>224</v>
      </c>
    </row>
    <row r="16" spans="1:8" x14ac:dyDescent="0.3">
      <c r="A16" s="34" t="s">
        <v>361</v>
      </c>
      <c r="B16" s="34" t="s">
        <v>1160</v>
      </c>
      <c r="C16" s="34" t="s">
        <v>1010</v>
      </c>
      <c r="D16" s="34" t="s">
        <v>1161</v>
      </c>
      <c r="E16" s="88">
        <v>46069</v>
      </c>
      <c r="F16" s="34" t="s">
        <v>224</v>
      </c>
    </row>
    <row r="17" spans="1:6" x14ac:dyDescent="0.3">
      <c r="A17" s="34" t="s">
        <v>361</v>
      </c>
      <c r="B17" s="97" t="s">
        <v>1162</v>
      </c>
      <c r="C17" s="34" t="s">
        <v>849</v>
      </c>
      <c r="D17" s="34" t="s">
        <v>1163</v>
      </c>
      <c r="E17" s="88">
        <v>46069</v>
      </c>
      <c r="F17" s="34" t="s">
        <v>224</v>
      </c>
    </row>
    <row r="18" spans="1:6" x14ac:dyDescent="0.3">
      <c r="A18" s="34" t="s">
        <v>14</v>
      </c>
      <c r="B18" s="34" t="s">
        <v>1164</v>
      </c>
      <c r="C18" s="34" t="s">
        <v>849</v>
      </c>
      <c r="D18" s="34" t="s">
        <v>1165</v>
      </c>
      <c r="E18" s="88">
        <v>46069</v>
      </c>
      <c r="F18" s="34" t="s">
        <v>224</v>
      </c>
    </row>
    <row r="19" spans="1:6" x14ac:dyDescent="0.3">
      <c r="A19" s="34" t="s">
        <v>25</v>
      </c>
      <c r="B19" s="34" t="s">
        <v>1166</v>
      </c>
      <c r="C19" s="34" t="s">
        <v>849</v>
      </c>
      <c r="D19" s="34" t="s">
        <v>1167</v>
      </c>
      <c r="E19" s="88">
        <v>46069</v>
      </c>
      <c r="F19" s="34" t="s">
        <v>224</v>
      </c>
    </row>
    <row r="20" spans="1:6" x14ac:dyDescent="0.3">
      <c r="A20" s="34" t="s">
        <v>25</v>
      </c>
      <c r="B20" s="34" t="s">
        <v>1168</v>
      </c>
      <c r="C20" s="34" t="s">
        <v>849</v>
      </c>
      <c r="D20" s="34" t="s">
        <v>1169</v>
      </c>
      <c r="E20" s="88">
        <v>46069</v>
      </c>
      <c r="F20" s="34" t="s">
        <v>224</v>
      </c>
    </row>
    <row r="21" spans="1:6" x14ac:dyDescent="0.3">
      <c r="A21" s="34" t="s">
        <v>361</v>
      </c>
      <c r="B21" s="34" t="s">
        <v>1170</v>
      </c>
      <c r="C21" s="34" t="s">
        <v>849</v>
      </c>
      <c r="D21" s="34" t="s">
        <v>1171</v>
      </c>
      <c r="E21" s="88">
        <v>46071</v>
      </c>
      <c r="F21" s="34" t="s">
        <v>224</v>
      </c>
    </row>
    <row r="22" spans="1:6" x14ac:dyDescent="0.3">
      <c r="A22" s="34" t="s">
        <v>872</v>
      </c>
      <c r="B22" s="34" t="s">
        <v>1176</v>
      </c>
      <c r="C22" s="34" t="s">
        <v>849</v>
      </c>
      <c r="D22" s="34" t="s">
        <v>1177</v>
      </c>
      <c r="E22" s="88">
        <v>46077</v>
      </c>
      <c r="F22" s="34" t="s">
        <v>224</v>
      </c>
    </row>
    <row r="23" spans="1:6" x14ac:dyDescent="0.3">
      <c r="A23" s="34" t="s">
        <v>30</v>
      </c>
      <c r="B23" s="97" t="s">
        <v>1178</v>
      </c>
      <c r="C23" s="34" t="s">
        <v>849</v>
      </c>
      <c r="D23" s="34" t="s">
        <v>1179</v>
      </c>
      <c r="E23" s="88">
        <v>46077</v>
      </c>
      <c r="F23" s="34" t="s">
        <v>224</v>
      </c>
    </row>
    <row r="24" spans="1:6" x14ac:dyDescent="0.3">
      <c r="A24" s="34" t="s">
        <v>361</v>
      </c>
      <c r="B24" s="34" t="s">
        <v>1180</v>
      </c>
      <c r="C24" s="34" t="s">
        <v>1010</v>
      </c>
      <c r="D24" s="34" t="s">
        <v>1181</v>
      </c>
      <c r="E24" s="88">
        <v>46077</v>
      </c>
      <c r="F24" s="34" t="s">
        <v>224</v>
      </c>
    </row>
    <row r="25" spans="1:6" x14ac:dyDescent="0.3">
      <c r="A25" s="34" t="s">
        <v>361</v>
      </c>
      <c r="B25" s="34" t="s">
        <v>1182</v>
      </c>
      <c r="C25" s="34" t="s">
        <v>849</v>
      </c>
      <c r="D25" s="34" t="s">
        <v>1183</v>
      </c>
      <c r="E25" s="88">
        <v>46078</v>
      </c>
      <c r="F25" s="34" t="s">
        <v>224</v>
      </c>
    </row>
    <row r="26" spans="1:6" x14ac:dyDescent="0.3">
      <c r="A26" s="34" t="s">
        <v>1184</v>
      </c>
      <c r="B26" s="34" t="s">
        <v>194</v>
      </c>
      <c r="C26" s="34" t="s">
        <v>849</v>
      </c>
      <c r="D26" s="34" t="s">
        <v>1185</v>
      </c>
      <c r="E26" s="88">
        <v>46079</v>
      </c>
      <c r="F26" s="34" t="s">
        <v>224</v>
      </c>
    </row>
    <row r="27" spans="1:6" x14ac:dyDescent="0.3">
      <c r="A27" s="34" t="s">
        <v>361</v>
      </c>
      <c r="B27" s="34" t="s">
        <v>1186</v>
      </c>
      <c r="C27" s="34" t="s">
        <v>1010</v>
      </c>
      <c r="D27" s="34" t="s">
        <v>1187</v>
      </c>
      <c r="E27" s="88">
        <v>46080</v>
      </c>
      <c r="F27" s="34" t="s">
        <v>224</v>
      </c>
    </row>
    <row r="28" spans="1:6" x14ac:dyDescent="0.3">
      <c r="A28" s="34" t="s">
        <v>1190</v>
      </c>
      <c r="B28" s="34" t="s">
        <v>1191</v>
      </c>
      <c r="C28" s="34" t="s">
        <v>1067</v>
      </c>
      <c r="D28" s="34" t="s">
        <v>1192</v>
      </c>
      <c r="E28" s="88">
        <v>46083</v>
      </c>
      <c r="F28" s="34" t="s">
        <v>224</v>
      </c>
    </row>
    <row r="29" spans="1:6" x14ac:dyDescent="0.3">
      <c r="A29" s="34" t="s">
        <v>1184</v>
      </c>
      <c r="B29" s="97" t="s">
        <v>1193</v>
      </c>
      <c r="C29" s="34" t="s">
        <v>1010</v>
      </c>
      <c r="D29" s="34" t="s">
        <v>1194</v>
      </c>
      <c r="E29" s="88">
        <v>46083</v>
      </c>
      <c r="F29" s="34" t="s">
        <v>224</v>
      </c>
    </row>
    <row r="30" spans="1:6" x14ac:dyDescent="0.3">
      <c r="A30" s="34" t="s">
        <v>1184</v>
      </c>
      <c r="B30" s="34" t="s">
        <v>1195</v>
      </c>
      <c r="C30" s="34" t="s">
        <v>1010</v>
      </c>
      <c r="D30" s="34" t="s">
        <v>1196</v>
      </c>
      <c r="E30" s="88">
        <v>46083</v>
      </c>
      <c r="F30" s="34" t="s">
        <v>224</v>
      </c>
    </row>
    <row r="31" spans="1:6" x14ac:dyDescent="0.3">
      <c r="A31" s="34" t="s">
        <v>361</v>
      </c>
      <c r="B31" s="34" t="s">
        <v>1197</v>
      </c>
      <c r="C31" s="34" t="s">
        <v>1010</v>
      </c>
      <c r="D31" s="34" t="s">
        <v>1198</v>
      </c>
      <c r="E31" s="88">
        <v>46086</v>
      </c>
      <c r="F31" s="34" t="s">
        <v>224</v>
      </c>
    </row>
    <row r="32" spans="1:6" x14ac:dyDescent="0.3">
      <c r="A32" s="34" t="s">
        <v>1199</v>
      </c>
      <c r="B32" s="34" t="s">
        <v>1200</v>
      </c>
      <c r="C32" s="34" t="s">
        <v>849</v>
      </c>
      <c r="D32" s="34" t="s">
        <v>1201</v>
      </c>
      <c r="E32" s="88">
        <v>46093</v>
      </c>
      <c r="F32" s="34" t="s">
        <v>224</v>
      </c>
    </row>
    <row r="33" spans="1:7" x14ac:dyDescent="0.3">
      <c r="A33" s="34" t="s">
        <v>1190</v>
      </c>
      <c r="B33" s="97" t="s">
        <v>1202</v>
      </c>
      <c r="C33" s="34" t="s">
        <v>1010</v>
      </c>
      <c r="D33" s="34" t="s">
        <v>1203</v>
      </c>
      <c r="E33" s="88">
        <v>46091</v>
      </c>
      <c r="F33" s="34" t="s">
        <v>224</v>
      </c>
    </row>
    <row r="34" spans="1:7" x14ac:dyDescent="0.3">
      <c r="A34" s="34" t="s">
        <v>996</v>
      </c>
      <c r="B34" s="34" t="s">
        <v>1174</v>
      </c>
      <c r="C34" s="34" t="s">
        <v>1010</v>
      </c>
      <c r="D34" s="34" t="s">
        <v>1211</v>
      </c>
      <c r="E34" s="88">
        <v>46097</v>
      </c>
      <c r="F34" s="34" t="s">
        <v>224</v>
      </c>
    </row>
    <row r="35" spans="1:7" x14ac:dyDescent="0.3">
      <c r="A35" s="34" t="s">
        <v>361</v>
      </c>
      <c r="B35" s="34" t="s">
        <v>1215</v>
      </c>
      <c r="C35" s="34" t="s">
        <v>1010</v>
      </c>
      <c r="D35" s="34" t="s">
        <v>1216</v>
      </c>
      <c r="E35" s="88">
        <v>46104</v>
      </c>
      <c r="F35" s="34" t="s">
        <v>224</v>
      </c>
    </row>
    <row r="36" spans="1:7" x14ac:dyDescent="0.3">
      <c r="A36" s="34" t="s">
        <v>1217</v>
      </c>
      <c r="B36" s="97" t="s">
        <v>1218</v>
      </c>
      <c r="C36" s="34" t="s">
        <v>1010</v>
      </c>
      <c r="D36" s="34" t="s">
        <v>1219</v>
      </c>
      <c r="E36" s="88">
        <v>46083</v>
      </c>
      <c r="F36" s="34" t="s">
        <v>224</v>
      </c>
    </row>
    <row r="37" spans="1:7" x14ac:dyDescent="0.3">
      <c r="A37" s="34" t="s">
        <v>23</v>
      </c>
      <c r="B37" s="34" t="s">
        <v>1220</v>
      </c>
      <c r="C37" s="34" t="s">
        <v>1010</v>
      </c>
      <c r="D37" s="34" t="s">
        <v>1221</v>
      </c>
      <c r="E37" s="88">
        <v>46106</v>
      </c>
      <c r="F37" s="34" t="s">
        <v>224</v>
      </c>
    </row>
    <row r="38" spans="1:7" x14ac:dyDescent="0.3">
      <c r="A38" t="s">
        <v>338</v>
      </c>
      <c r="B38" t="s">
        <v>1231</v>
      </c>
      <c r="C38" t="s">
        <v>849</v>
      </c>
      <c r="D38" t="s">
        <v>1232</v>
      </c>
      <c r="E38" s="24">
        <v>46119</v>
      </c>
      <c r="F38" t="s">
        <v>224</v>
      </c>
    </row>
    <row r="39" spans="1:7" x14ac:dyDescent="0.3">
      <c r="A39" t="s">
        <v>338</v>
      </c>
      <c r="B39" s="98" t="s">
        <v>1233</v>
      </c>
      <c r="C39" t="s">
        <v>849</v>
      </c>
      <c r="D39" t="s">
        <v>1234</v>
      </c>
      <c r="E39" s="24">
        <v>46119</v>
      </c>
      <c r="F39" t="s">
        <v>224</v>
      </c>
    </row>
    <row r="40" spans="1:7" x14ac:dyDescent="0.3">
      <c r="A40" t="s">
        <v>993</v>
      </c>
      <c r="B40" t="s">
        <v>1235</v>
      </c>
      <c r="C40" t="s">
        <v>849</v>
      </c>
      <c r="D40" t="s">
        <v>1236</v>
      </c>
      <c r="E40" s="24">
        <v>46122</v>
      </c>
      <c r="F40" t="s">
        <v>224</v>
      </c>
    </row>
    <row r="41" spans="1:7" x14ac:dyDescent="0.3">
      <c r="A41" s="34" t="s">
        <v>361</v>
      </c>
      <c r="B41" s="34" t="s">
        <v>1237</v>
      </c>
      <c r="C41" s="34" t="s">
        <v>1010</v>
      </c>
      <c r="D41" s="34" t="s">
        <v>1238</v>
      </c>
      <c r="E41" s="88">
        <v>46127</v>
      </c>
      <c r="F41" s="34" t="s">
        <v>224</v>
      </c>
    </row>
    <row r="42" spans="1:7" x14ac:dyDescent="0.3">
      <c r="A42" s="34" t="s">
        <v>571</v>
      </c>
      <c r="B42" s="97" t="s">
        <v>1235</v>
      </c>
      <c r="C42" s="34" t="s">
        <v>1010</v>
      </c>
      <c r="D42" s="34" t="s">
        <v>1239</v>
      </c>
      <c r="E42" s="88">
        <v>46127</v>
      </c>
      <c r="F42" s="34" t="s">
        <v>224</v>
      </c>
    </row>
    <row r="43" spans="1:7" x14ac:dyDescent="0.3">
      <c r="A43" s="34" t="s">
        <v>361</v>
      </c>
      <c r="B43" s="34" t="s">
        <v>1244</v>
      </c>
      <c r="C43" s="34" t="s">
        <v>849</v>
      </c>
      <c r="D43" s="34" t="s">
        <v>1245</v>
      </c>
      <c r="E43" s="88">
        <v>46132</v>
      </c>
      <c r="F43" s="34" t="s">
        <v>224</v>
      </c>
    </row>
    <row r="44" spans="1:7" x14ac:dyDescent="0.3">
      <c r="A44" s="34" t="s">
        <v>571</v>
      </c>
      <c r="B44" s="97" t="s">
        <v>1246</v>
      </c>
      <c r="C44" s="34" t="s">
        <v>849</v>
      </c>
      <c r="D44" s="34" t="s">
        <v>1247</v>
      </c>
      <c r="E44" s="88">
        <v>46133</v>
      </c>
      <c r="F44" s="34" t="s">
        <v>224</v>
      </c>
    </row>
    <row r="45" spans="1:7" x14ac:dyDescent="0.3">
      <c r="A45" s="34" t="s">
        <v>571</v>
      </c>
      <c r="B45" s="34" t="s">
        <v>1248</v>
      </c>
      <c r="C45" s="34" t="s">
        <v>849</v>
      </c>
      <c r="D45" s="34" t="s">
        <v>1249</v>
      </c>
      <c r="E45" s="88">
        <v>46133</v>
      </c>
      <c r="F45" s="34" t="s">
        <v>224</v>
      </c>
    </row>
    <row r="46" spans="1:7" x14ac:dyDescent="0.3">
      <c r="A46" s="34" t="s">
        <v>571</v>
      </c>
      <c r="B46" s="34" t="s">
        <v>1250</v>
      </c>
      <c r="C46" s="34" t="s">
        <v>849</v>
      </c>
      <c r="D46" s="34" t="s">
        <v>1251</v>
      </c>
      <c r="E46" s="88">
        <v>46133</v>
      </c>
      <c r="F46" s="34" t="s">
        <v>224</v>
      </c>
    </row>
    <row r="47" spans="1:7" x14ac:dyDescent="0.3">
      <c r="A47" s="34" t="s">
        <v>361</v>
      </c>
      <c r="B47" s="34" t="s">
        <v>1252</v>
      </c>
      <c r="C47" s="34" t="s">
        <v>849</v>
      </c>
      <c r="D47" s="34" t="s">
        <v>1253</v>
      </c>
      <c r="E47" s="88">
        <v>46140</v>
      </c>
      <c r="F47" s="34" t="s">
        <v>224</v>
      </c>
      <c r="G47" s="34"/>
    </row>
    <row r="48" spans="1:7" x14ac:dyDescent="0.3">
      <c r="A48" s="34" t="s">
        <v>23</v>
      </c>
      <c r="B48" s="97" t="s">
        <v>1254</v>
      </c>
      <c r="C48" s="34" t="s">
        <v>849</v>
      </c>
      <c r="D48" s="34" t="s">
        <v>1255</v>
      </c>
      <c r="E48" s="88">
        <v>46141</v>
      </c>
      <c r="F48" s="34" t="s">
        <v>224</v>
      </c>
      <c r="G48" s="34"/>
    </row>
    <row r="49" spans="1:7" x14ac:dyDescent="0.3">
      <c r="A49" s="34" t="s">
        <v>361</v>
      </c>
      <c r="B49" s="34" t="s">
        <v>1261</v>
      </c>
      <c r="C49" s="34" t="s">
        <v>849</v>
      </c>
      <c r="D49" s="34" t="s">
        <v>1262</v>
      </c>
      <c r="E49" s="88">
        <v>46147</v>
      </c>
      <c r="F49" s="34" t="s">
        <v>224</v>
      </c>
      <c r="G49" s="88"/>
    </row>
    <row r="50" spans="1:7" x14ac:dyDescent="0.3">
      <c r="A50" s="34" t="s">
        <v>361</v>
      </c>
      <c r="B50" s="97" t="s">
        <v>1263</v>
      </c>
      <c r="C50" s="34" t="s">
        <v>1010</v>
      </c>
      <c r="D50" s="34" t="s">
        <v>1264</v>
      </c>
      <c r="E50" s="88">
        <v>46149</v>
      </c>
      <c r="F50" s="34" t="s">
        <v>224</v>
      </c>
      <c r="G50" s="88"/>
    </row>
    <row r="51" spans="1:7" x14ac:dyDescent="0.3">
      <c r="A51" s="34" t="s">
        <v>226</v>
      </c>
      <c r="B51" s="34" t="s">
        <v>1265</v>
      </c>
      <c r="C51" s="34" t="s">
        <v>849</v>
      </c>
      <c r="D51" s="34" t="s">
        <v>1266</v>
      </c>
      <c r="E51" s="88">
        <v>46155</v>
      </c>
      <c r="F51" s="34" t="s">
        <v>224</v>
      </c>
      <c r="G51" s="34"/>
    </row>
    <row r="52" spans="1:7" x14ac:dyDescent="0.3">
      <c r="A52" s="34" t="s">
        <v>827</v>
      </c>
      <c r="B52" s="97" t="s">
        <v>1267</v>
      </c>
      <c r="C52" s="34" t="s">
        <v>849</v>
      </c>
      <c r="D52" s="34" t="s">
        <v>1268</v>
      </c>
      <c r="E52" s="88">
        <v>46156</v>
      </c>
      <c r="F52" s="34" t="s">
        <v>224</v>
      </c>
    </row>
    <row r="53" spans="1:7" x14ac:dyDescent="0.3">
      <c r="A53" s="34" t="s">
        <v>1013</v>
      </c>
      <c r="B53" s="34" t="s">
        <v>1269</v>
      </c>
      <c r="C53" s="34" t="s">
        <v>1010</v>
      </c>
      <c r="D53" s="34" t="s">
        <v>1270</v>
      </c>
      <c r="E53" s="88">
        <v>46156</v>
      </c>
      <c r="F53" s="34" t="s">
        <v>224</v>
      </c>
    </row>
    <row r="54" spans="1:7" x14ac:dyDescent="0.3">
      <c r="A54" s="34" t="s">
        <v>968</v>
      </c>
      <c r="B54" s="34" t="s">
        <v>1271</v>
      </c>
      <c r="C54" s="34" t="s">
        <v>849</v>
      </c>
      <c r="D54" s="34" t="s">
        <v>1272</v>
      </c>
      <c r="E54" s="88">
        <v>46160</v>
      </c>
      <c r="F54" s="34" t="s">
        <v>224</v>
      </c>
    </row>
    <row r="55" spans="1:7" x14ac:dyDescent="0.3">
      <c r="A55" s="34" t="s">
        <v>1199</v>
      </c>
      <c r="B55" s="97" t="s">
        <v>1273</v>
      </c>
      <c r="C55" s="34" t="s">
        <v>1010</v>
      </c>
      <c r="D55" s="34" t="s">
        <v>1274</v>
      </c>
      <c r="E55" s="88">
        <v>46164</v>
      </c>
      <c r="F55" s="34" t="s">
        <v>224</v>
      </c>
    </row>
    <row r="56" spans="1:7" x14ac:dyDescent="0.3">
      <c r="A56" s="34" t="s">
        <v>945</v>
      </c>
      <c r="B56" s="34" t="s">
        <v>1277</v>
      </c>
      <c r="C56" s="34" t="s">
        <v>1010</v>
      </c>
      <c r="D56" s="34" t="s">
        <v>1278</v>
      </c>
      <c r="E56" s="88">
        <v>46177</v>
      </c>
      <c r="F56" s="34" t="s">
        <v>224</v>
      </c>
    </row>
    <row r="57" spans="1:7" x14ac:dyDescent="0.3">
      <c r="A57" s="34" t="s">
        <v>945</v>
      </c>
      <c r="B57" s="97" t="s">
        <v>1279</v>
      </c>
      <c r="C57" s="34" t="s">
        <v>1010</v>
      </c>
      <c r="D57" s="34" t="s">
        <v>1280</v>
      </c>
      <c r="E57" s="88">
        <v>46178</v>
      </c>
      <c r="F57" s="34" t="s">
        <v>224</v>
      </c>
    </row>
    <row r="58" spans="1:7" x14ac:dyDescent="0.3">
      <c r="A58" s="34" t="s">
        <v>945</v>
      </c>
      <c r="B58" s="34" t="s">
        <v>1277</v>
      </c>
      <c r="C58" s="34" t="s">
        <v>849</v>
      </c>
      <c r="D58" s="34" t="s">
        <v>1278</v>
      </c>
      <c r="E58" s="88">
        <v>46177</v>
      </c>
      <c r="F58" s="34" t="s">
        <v>224</v>
      </c>
    </row>
    <row r="59" spans="1:7" x14ac:dyDescent="0.3">
      <c r="A59" s="34" t="s">
        <v>945</v>
      </c>
      <c r="B59" s="97" t="s">
        <v>1279</v>
      </c>
      <c r="C59" s="34" t="s">
        <v>849</v>
      </c>
      <c r="D59" s="34" t="s">
        <v>1280</v>
      </c>
      <c r="E59" s="88">
        <v>46178</v>
      </c>
      <c r="F59" s="34" t="s">
        <v>224</v>
      </c>
    </row>
    <row r="60" spans="1:7" x14ac:dyDescent="0.3">
      <c r="A60" s="34" t="s">
        <v>968</v>
      </c>
      <c r="B60" s="34" t="s">
        <v>1281</v>
      </c>
      <c r="C60" s="34" t="s">
        <v>849</v>
      </c>
      <c r="D60" s="34" t="s">
        <v>1282</v>
      </c>
      <c r="E60" s="88">
        <v>46183</v>
      </c>
      <c r="F60" s="34" t="s">
        <v>224</v>
      </c>
      <c r="G60" s="88"/>
    </row>
    <row r="61" spans="1:7" x14ac:dyDescent="0.3">
      <c r="A61" s="34" t="s">
        <v>968</v>
      </c>
      <c r="B61" s="97" t="s">
        <v>1283</v>
      </c>
      <c r="C61" s="34" t="s">
        <v>849</v>
      </c>
      <c r="D61" s="34" t="s">
        <v>1284</v>
      </c>
      <c r="E61" s="88">
        <v>46183</v>
      </c>
      <c r="F61" s="34" t="s">
        <v>224</v>
      </c>
      <c r="G61" s="88"/>
    </row>
    <row r="62" spans="1:7" x14ac:dyDescent="0.3">
      <c r="A62" s="34" t="s">
        <v>1285</v>
      </c>
      <c r="B62" s="34" t="s">
        <v>1082</v>
      </c>
      <c r="C62" s="34" t="s">
        <v>849</v>
      </c>
      <c r="D62" s="34" t="s">
        <v>1286</v>
      </c>
      <c r="E62" s="88">
        <v>46184</v>
      </c>
      <c r="F62" s="34" t="s">
        <v>224</v>
      </c>
      <c r="G62" s="88"/>
    </row>
    <row r="63" spans="1:7" x14ac:dyDescent="0.3">
      <c r="A63" s="34" t="s">
        <v>968</v>
      </c>
      <c r="B63" s="34" t="s">
        <v>975</v>
      </c>
      <c r="C63" s="34" t="s">
        <v>1010</v>
      </c>
      <c r="D63" s="34" t="s">
        <v>1287</v>
      </c>
      <c r="E63" s="88">
        <v>46189</v>
      </c>
      <c r="F63" s="34" t="s">
        <v>224</v>
      </c>
    </row>
    <row r="64" spans="1:7" x14ac:dyDescent="0.3">
      <c r="A64" s="34" t="s">
        <v>1288</v>
      </c>
      <c r="B64" s="34" t="s">
        <v>1289</v>
      </c>
      <c r="C64" s="34" t="s">
        <v>849</v>
      </c>
      <c r="D64" s="34" t="s">
        <v>1290</v>
      </c>
      <c r="E64" s="88">
        <v>46195</v>
      </c>
      <c r="F64" s="34" t="s">
        <v>224</v>
      </c>
    </row>
    <row r="65" spans="1:6" x14ac:dyDescent="0.3">
      <c r="A65" s="34" t="s">
        <v>945</v>
      </c>
      <c r="B65" s="97" t="s">
        <v>1291</v>
      </c>
      <c r="C65" s="34" t="s">
        <v>849</v>
      </c>
      <c r="D65" s="34" t="s">
        <v>1292</v>
      </c>
      <c r="E65" s="88">
        <v>46197</v>
      </c>
      <c r="F65" s="34" t="s">
        <v>224</v>
      </c>
    </row>
    <row r="66" spans="1:6" x14ac:dyDescent="0.3">
      <c r="A66" s="34" t="s">
        <v>945</v>
      </c>
      <c r="B66" s="34" t="s">
        <v>1293</v>
      </c>
      <c r="C66" s="34" t="s">
        <v>849</v>
      </c>
      <c r="D66" s="34" t="s">
        <v>1294</v>
      </c>
      <c r="E66" s="88">
        <v>46199</v>
      </c>
      <c r="F66" s="34" t="s">
        <v>224</v>
      </c>
    </row>
    <row r="67" spans="1:6" x14ac:dyDescent="0.3">
      <c r="A67" s="34" t="s">
        <v>1295</v>
      </c>
      <c r="B67" s="34" t="s">
        <v>1093</v>
      </c>
      <c r="C67" s="34" t="s">
        <v>849</v>
      </c>
      <c r="D67" s="34" t="s">
        <v>1296</v>
      </c>
      <c r="E67" s="88">
        <v>46204</v>
      </c>
      <c r="F67" s="34" t="s">
        <v>224</v>
      </c>
    </row>
    <row r="68" spans="1:6" x14ac:dyDescent="0.3">
      <c r="A68" s="34" t="s">
        <v>945</v>
      </c>
      <c r="B68" s="97" t="s">
        <v>1297</v>
      </c>
      <c r="C68" s="34" t="s">
        <v>849</v>
      </c>
      <c r="D68" s="34" t="s">
        <v>1298</v>
      </c>
      <c r="E68" s="88">
        <v>46205</v>
      </c>
      <c r="F68" s="34" t="s">
        <v>224</v>
      </c>
    </row>
    <row r="69" spans="1:6" x14ac:dyDescent="0.3">
      <c r="A69" s="34" t="s">
        <v>1295</v>
      </c>
      <c r="B69" s="34" t="s">
        <v>38</v>
      </c>
      <c r="C69" s="34" t="s">
        <v>849</v>
      </c>
      <c r="D69" s="34" t="s">
        <v>1299</v>
      </c>
      <c r="E69" s="88">
        <v>46212</v>
      </c>
      <c r="F69" s="34" t="s">
        <v>224</v>
      </c>
    </row>
    <row r="70" spans="1:6" x14ac:dyDescent="0.3">
      <c r="A70" t="s">
        <v>1300</v>
      </c>
      <c r="B70" t="s">
        <v>1301</v>
      </c>
      <c r="C70" t="s">
        <v>849</v>
      </c>
      <c r="D70" t="s">
        <v>1302</v>
      </c>
      <c r="E70" s="24">
        <v>46218</v>
      </c>
      <c r="F70" t="s">
        <v>224</v>
      </c>
    </row>
    <row r="71" spans="1:6" x14ac:dyDescent="0.3">
      <c r="A71" t="s">
        <v>945</v>
      </c>
      <c r="B71" t="s">
        <v>1303</v>
      </c>
      <c r="C71" t="s">
        <v>849</v>
      </c>
      <c r="D71" t="s">
        <v>1304</v>
      </c>
      <c r="E71" s="24">
        <v>46220</v>
      </c>
      <c r="F71" t="s">
        <v>224</v>
      </c>
    </row>
    <row r="72" spans="1:6" x14ac:dyDescent="0.3">
      <c r="A72" t="s">
        <v>968</v>
      </c>
      <c r="B72" t="s">
        <v>1305</v>
      </c>
      <c r="C72" t="s">
        <v>849</v>
      </c>
      <c r="D72" t="s">
        <v>1306</v>
      </c>
      <c r="E72" s="24">
        <v>46220</v>
      </c>
      <c r="F72" t="s">
        <v>224</v>
      </c>
    </row>
    <row r="73" spans="1:6" x14ac:dyDescent="0.3">
      <c r="A73" t="s">
        <v>968</v>
      </c>
      <c r="B73" t="s">
        <v>1307</v>
      </c>
      <c r="C73" t="s">
        <v>849</v>
      </c>
      <c r="D73" t="s">
        <v>1308</v>
      </c>
      <c r="E73" s="24">
        <v>46220</v>
      </c>
      <c r="F73" t="s">
        <v>224</v>
      </c>
    </row>
    <row r="74" spans="1:6" x14ac:dyDescent="0.3">
      <c r="A74" t="s">
        <v>968</v>
      </c>
      <c r="B74" t="s">
        <v>1309</v>
      </c>
      <c r="C74" t="s">
        <v>849</v>
      </c>
      <c r="D74" t="s">
        <v>1310</v>
      </c>
      <c r="E74" s="24">
        <v>46220</v>
      </c>
      <c r="F74" t="s">
        <v>224</v>
      </c>
    </row>
    <row r="75" spans="1:6" x14ac:dyDescent="0.3">
      <c r="A75" t="s">
        <v>968</v>
      </c>
      <c r="B75" t="s">
        <v>1311</v>
      </c>
      <c r="C75" t="s">
        <v>849</v>
      </c>
      <c r="D75" t="s">
        <v>1312</v>
      </c>
      <c r="E75" s="24">
        <v>46220</v>
      </c>
      <c r="F75" t="s">
        <v>224</v>
      </c>
    </row>
    <row r="76" spans="1:6" x14ac:dyDescent="0.3">
      <c r="A76" t="s">
        <v>25</v>
      </c>
      <c r="B76" t="s">
        <v>1313</v>
      </c>
      <c r="C76" t="s">
        <v>849</v>
      </c>
      <c r="D76" t="s">
        <v>1314</v>
      </c>
      <c r="E76" s="24">
        <v>46218</v>
      </c>
      <c r="F76" t="s">
        <v>224</v>
      </c>
    </row>
    <row r="77" spans="1:6" x14ac:dyDescent="0.3">
      <c r="A77" s="34" t="s">
        <v>25</v>
      </c>
      <c r="B77" s="34" t="s">
        <v>1315</v>
      </c>
      <c r="C77" s="34" t="s">
        <v>849</v>
      </c>
      <c r="D77" s="34" t="s">
        <v>1316</v>
      </c>
      <c r="E77" s="88">
        <v>46225</v>
      </c>
      <c r="F77" s="34" t="s">
        <v>224</v>
      </c>
    </row>
    <row r="78" spans="1:6" x14ac:dyDescent="0.3">
      <c r="A78" s="34" t="s">
        <v>872</v>
      </c>
      <c r="B78" s="34" t="s">
        <v>1317</v>
      </c>
      <c r="C78" s="34" t="s">
        <v>849</v>
      </c>
      <c r="D78" s="34" t="s">
        <v>1318</v>
      </c>
      <c r="E78" s="88">
        <v>46230</v>
      </c>
      <c r="F78" s="34" t="s">
        <v>224</v>
      </c>
    </row>
    <row r="79" spans="1:6" x14ac:dyDescent="0.3">
      <c r="A79" s="34" t="s">
        <v>23</v>
      </c>
      <c r="B79" s="97" t="s">
        <v>1319</v>
      </c>
      <c r="C79" s="34" t="s">
        <v>849</v>
      </c>
      <c r="D79" s="34" t="s">
        <v>1320</v>
      </c>
      <c r="E79" s="88">
        <v>46232</v>
      </c>
      <c r="F79" s="34" t="s">
        <v>224</v>
      </c>
    </row>
    <row r="80" spans="1:6" x14ac:dyDescent="0.3">
      <c r="A80" s="34" t="s">
        <v>1199</v>
      </c>
      <c r="B80" s="34" t="s">
        <v>1321</v>
      </c>
      <c r="C80" s="34" t="s">
        <v>849</v>
      </c>
      <c r="D80" s="34" t="s">
        <v>1322</v>
      </c>
      <c r="E80" s="88">
        <v>46231</v>
      </c>
      <c r="F80" s="34" t="s">
        <v>224</v>
      </c>
    </row>
    <row r="81" spans="1:7" x14ac:dyDescent="0.3">
      <c r="A81" s="34" t="s">
        <v>1300</v>
      </c>
      <c r="B81" s="34" t="s">
        <v>1254</v>
      </c>
      <c r="C81" s="34" t="s">
        <v>1010</v>
      </c>
      <c r="D81" s="34" t="s">
        <v>1323</v>
      </c>
      <c r="E81" s="88">
        <v>46238</v>
      </c>
      <c r="F81" s="34" t="s">
        <v>224</v>
      </c>
    </row>
    <row r="82" spans="1:7" x14ac:dyDescent="0.3">
      <c r="A82" s="34" t="s">
        <v>1324</v>
      </c>
      <c r="B82" s="97" t="s">
        <v>1325</v>
      </c>
      <c r="C82" s="34" t="s">
        <v>1010</v>
      </c>
      <c r="D82" s="34" t="s">
        <v>1326</v>
      </c>
      <c r="E82" s="88">
        <v>46237</v>
      </c>
      <c r="F82" s="34" t="s">
        <v>224</v>
      </c>
    </row>
    <row r="83" spans="1:7" x14ac:dyDescent="0.3">
      <c r="A83" s="34" t="s">
        <v>945</v>
      </c>
      <c r="B83" s="34" t="s">
        <v>1344</v>
      </c>
      <c r="C83" s="34" t="s">
        <v>849</v>
      </c>
      <c r="D83" s="34" t="s">
        <v>1345</v>
      </c>
      <c r="E83" s="88">
        <v>46262</v>
      </c>
      <c r="F83" s="34" t="s">
        <v>224</v>
      </c>
    </row>
    <row r="84" spans="1:7" x14ac:dyDescent="0.3">
      <c r="A84" s="34" t="s">
        <v>1324</v>
      </c>
      <c r="B84" s="97" t="s">
        <v>1346</v>
      </c>
      <c r="C84" s="34" t="s">
        <v>849</v>
      </c>
      <c r="D84" s="34" t="s">
        <v>1347</v>
      </c>
      <c r="E84" s="88">
        <v>46262</v>
      </c>
      <c r="F84" s="34" t="s">
        <v>224</v>
      </c>
    </row>
    <row r="85" spans="1:7" x14ac:dyDescent="0.3">
      <c r="A85" s="34" t="s">
        <v>25</v>
      </c>
      <c r="B85" s="34" t="s">
        <v>1348</v>
      </c>
      <c r="C85" s="34" t="s">
        <v>849</v>
      </c>
      <c r="D85" s="34" t="s">
        <v>1349</v>
      </c>
      <c r="E85" s="88">
        <v>46261</v>
      </c>
      <c r="F85" s="34" t="s">
        <v>224</v>
      </c>
    </row>
    <row r="86" spans="1:7" x14ac:dyDescent="0.3">
      <c r="A86" s="34" t="s">
        <v>23</v>
      </c>
      <c r="B86" s="34" t="s">
        <v>1350</v>
      </c>
      <c r="C86" s="34" t="s">
        <v>849</v>
      </c>
      <c r="D86" s="34" t="s">
        <v>1351</v>
      </c>
      <c r="E86" s="88">
        <v>46266</v>
      </c>
      <c r="F86" s="34" t="s">
        <v>224</v>
      </c>
      <c r="G86" s="88"/>
    </row>
    <row r="87" spans="1:7" x14ac:dyDescent="0.3">
      <c r="A87" s="34" t="s">
        <v>945</v>
      </c>
      <c r="B87" s="97" t="s">
        <v>1352</v>
      </c>
      <c r="C87" s="34" t="s">
        <v>849</v>
      </c>
      <c r="D87" s="34" t="s">
        <v>1353</v>
      </c>
      <c r="E87" s="88">
        <v>46269</v>
      </c>
      <c r="F87" s="34" t="s">
        <v>224</v>
      </c>
      <c r="G87" s="8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002B4BB873664CB7FB045319EF091B" ma:contentTypeVersion="19" ma:contentTypeDescription="Create a new document." ma:contentTypeScope="" ma:versionID="f1c23f112b3ce9fba7a6c058ad4caeaf">
  <xsd:schema xmlns:xsd="http://www.w3.org/2001/XMLSchema" xmlns:xs="http://www.w3.org/2001/XMLSchema" xmlns:p="http://schemas.microsoft.com/office/2006/metadata/properties" xmlns:ns2="e76b6db0-4a17-4ba5-817f-7b4733e170d9" xmlns:ns3="7eab7ec0-d589-4691-99df-a67f334e674d" targetNamespace="http://schemas.microsoft.com/office/2006/metadata/properties" ma:root="true" ma:fieldsID="8d2bca84f48dfab6436c850f6b5b3ff9" ns2:_="" ns3:_="">
    <xsd:import namespace="e76b6db0-4a17-4ba5-817f-7b4733e170d9"/>
    <xsd:import namespace="7eab7ec0-d589-4691-99df-a67f334e67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b6db0-4a17-4ba5-817f-7b4733e170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712e52a-3a96-4764-8e7a-809552880c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b7ec0-d589-4691-99df-a67f334e674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45aecf7-25d8-4038-979c-e580bf2a06ac}" ma:internalName="TaxCatchAll" ma:showField="CatchAllData" ma:web="7eab7ec0-d589-4691-99df-a67f334e67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6b6db0-4a17-4ba5-817f-7b4733e170d9">
      <Terms xmlns="http://schemas.microsoft.com/office/infopath/2007/PartnerControls"/>
    </lcf76f155ced4ddcb4097134ff3c332f>
    <TaxCatchAll xmlns="7eab7ec0-d589-4691-99df-a67f334e674d" xsi:nil="true"/>
    <SharedWithUsers xmlns="7eab7ec0-d589-4691-99df-a67f334e674d">
      <UserInfo>
        <DisplayName>Tinotenda Chikarakara</DisplayName>
        <AccountId>163</AccountId>
        <AccountType/>
      </UserInfo>
      <UserInfo>
        <DisplayName>Ashley Kadyaridzire</DisplayName>
        <AccountId>216</AccountId>
        <AccountType/>
      </UserInfo>
      <UserInfo>
        <DisplayName>Tatenda Chavhunduka</DisplayName>
        <AccountId>160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8FFC617-7226-48D6-B301-EBFADE3092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6b6db0-4a17-4ba5-817f-7b4733e170d9"/>
    <ds:schemaRef ds:uri="7eab7ec0-d589-4691-99df-a67f334e67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E10B67-97EE-4455-99CA-540D0D28B4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085B02-CA62-4D4A-A91E-2CC9754E0625}">
  <ds:schemaRefs>
    <ds:schemaRef ds:uri="http://schemas.microsoft.com/office/2006/documentManagement/types"/>
    <ds:schemaRef ds:uri="http://purl.org/dc/terms/"/>
    <ds:schemaRef ds:uri="e76b6db0-4a17-4ba5-817f-7b4733e170d9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eab7ec0-d589-4691-99df-a67f334e67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2022 HWS</vt:lpstr>
      <vt:lpstr>2023 HWS</vt:lpstr>
      <vt:lpstr>2023 CHWS</vt:lpstr>
      <vt:lpstr>2024 HWS</vt:lpstr>
      <vt:lpstr>Software Sales 2024</vt:lpstr>
      <vt:lpstr>RFQ2024</vt:lpstr>
      <vt:lpstr>2025 HWS</vt:lpstr>
      <vt:lpstr>Software Sales 2025</vt:lpstr>
      <vt:lpstr>RFQ2025</vt:lpstr>
      <vt:lpstr>2026 HWS</vt:lpstr>
      <vt:lpstr>Software Sales 2026</vt:lpstr>
      <vt:lpstr>RFQ2026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Tinotenda Chikarakara</dc:creator>
  <cp:keywords/>
  <dc:description/>
  <cp:lastModifiedBy>Tafara Chitiyo -I-</cp:lastModifiedBy>
  <cp:revision/>
  <dcterms:created xsi:type="dcterms:W3CDTF">2023-03-27T14:57:43Z</dcterms:created>
  <dcterms:modified xsi:type="dcterms:W3CDTF">2026-09-07T14:12:34Z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0x010100AF002B4BB873664CB7FB045319EF091B</vt:lpwstr>
  </property>
  <property fmtid="{D5CDD505-2E9C-101B-9397-08002B2CF9AE}" pid="3" name="MediaServiceImageTags">
    <vt:lpwstr/>
  </property>
</Properties>
</file>